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M:\Datasets_FInal\EXCEL_WORKS\"/>
    </mc:Choice>
  </mc:AlternateContent>
  <xr:revisionPtr revIDLastSave="0" documentId="13_ncr:9_{F15FAD04-A87D-4A1E-B033-6C42CCE4BDD4}" xr6:coauthVersionLast="47" xr6:coauthVersionMax="47" xr10:uidLastSave="{00000000-0000-0000-0000-000000000000}"/>
  <bookViews>
    <workbookView xWindow="-120" yWindow="-120" windowWidth="20730" windowHeight="11310" activeTab="3" xr2:uid="{00000000-000D-0000-FFFF-FFFF00000000}"/>
  </bookViews>
  <sheets>
    <sheet name="Old_Fuel_Prices" sheetId="1" r:id="rId1"/>
    <sheet name="New_Fuel_Prices" sheetId="3" r:id="rId2"/>
    <sheet name="Pivots" sheetId="4" r:id="rId3"/>
    <sheet name="DashBoard" sheetId="6" r:id="rId4"/>
  </sheets>
  <definedNames>
    <definedName name="_xlcn.WorksheetConnection_Fuel_Prices_Analysis.xlsxFuel_prices1" hidden="1">Fuel_prices[]</definedName>
    <definedName name="NativeTimeline_Date">#N/A</definedName>
    <definedName name="Slicer_MonthName">#N/A</definedName>
    <definedName name="Slicer_Quarter">#N/A</definedName>
  </definedNames>
  <calcPr calcId="191029"/>
  <pivotCaches>
    <pivotCache cacheId="30" r:id="rId5"/>
    <pivotCache cacheId="29" r:id="rId6"/>
  </pivotCaches>
  <extLst>
    <ext xmlns:x14="http://schemas.microsoft.com/office/spreadsheetml/2009/9/main" uri="{876F7934-8845-4945-9796-88D515C7AA90}">
      <x14:pivotCaches>
        <pivotCache cacheId="17"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FCE2AD5D-F65C-4FA6-A056-5C36A1767C68}">
      <x15:dataModel>
        <x15:modelTables>
          <x15:modelTable id="Fuel_prices" name="Fuel_prices" connection="WorksheetConnection_Fuel_Prices_Analysis.xlsx!Fuel_pric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4" l="1"/>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H4" i="3"/>
  <c r="I4" i="3" s="1" a="1"/>
  <c r="I4" i="3" s="1"/>
  <c r="H5" i="3"/>
  <c r="I5" i="3" s="1" a="1"/>
  <c r="I5" i="3" s="1"/>
  <c r="H6" i="3"/>
  <c r="I6" i="3" s="1" a="1"/>
  <c r="I6" i="3" s="1"/>
  <c r="H7" i="3"/>
  <c r="I7" i="3" s="1" a="1"/>
  <c r="I7" i="3" s="1"/>
  <c r="H8" i="3"/>
  <c r="I8" i="3" s="1" a="1"/>
  <c r="I8" i="3" s="1"/>
  <c r="H9" i="3"/>
  <c r="I9" i="3" s="1" a="1"/>
  <c r="I9" i="3" s="1"/>
  <c r="H10" i="3"/>
  <c r="I10" i="3" s="1" a="1"/>
  <c r="I10" i="3" s="1"/>
  <c r="H11" i="3"/>
  <c r="I11" i="3" s="1" a="1"/>
  <c r="I11" i="3" s="1"/>
  <c r="H12" i="3"/>
  <c r="I12" i="3" s="1" a="1"/>
  <c r="I12" i="3" s="1"/>
  <c r="H13" i="3"/>
  <c r="I13" i="3" s="1" a="1"/>
  <c r="I13" i="3" s="1"/>
  <c r="H14" i="3"/>
  <c r="I14" i="3" s="1" a="1"/>
  <c r="I14" i="3" s="1"/>
  <c r="H15" i="3"/>
  <c r="I15" i="3" s="1" a="1"/>
  <c r="I15" i="3" s="1"/>
  <c r="H16" i="3"/>
  <c r="I16" i="3" s="1" a="1"/>
  <c r="I16" i="3" s="1"/>
  <c r="H17" i="3"/>
  <c r="I17" i="3" s="1" a="1"/>
  <c r="I17" i="3" s="1"/>
  <c r="H18" i="3"/>
  <c r="I18" i="3" s="1" a="1"/>
  <c r="I18" i="3" s="1"/>
  <c r="H19" i="3"/>
  <c r="I19" i="3" s="1" a="1"/>
  <c r="I19" i="3" s="1"/>
  <c r="H20" i="3"/>
  <c r="I20" i="3" s="1" a="1"/>
  <c r="I20" i="3" s="1"/>
  <c r="H21" i="3"/>
  <c r="I21" i="3" s="1" a="1"/>
  <c r="I21" i="3" s="1"/>
  <c r="H22" i="3"/>
  <c r="I22" i="3" s="1" a="1"/>
  <c r="I22" i="3" s="1"/>
  <c r="H23" i="3"/>
  <c r="I23" i="3" s="1" a="1"/>
  <c r="I23" i="3" s="1"/>
  <c r="H24" i="3"/>
  <c r="I24" i="3" s="1" a="1"/>
  <c r="I24" i="3" s="1"/>
  <c r="H25" i="3"/>
  <c r="I25" i="3" s="1" a="1"/>
  <c r="I25" i="3" s="1"/>
  <c r="H26" i="3"/>
  <c r="I26" i="3" s="1" a="1"/>
  <c r="I26" i="3" s="1"/>
  <c r="H27" i="3"/>
  <c r="I27" i="3" s="1" a="1"/>
  <c r="I27" i="3" s="1"/>
  <c r="H28" i="3"/>
  <c r="I28" i="3" s="1" a="1"/>
  <c r="I28" i="3" s="1"/>
  <c r="H29" i="3"/>
  <c r="I29" i="3" s="1" a="1"/>
  <c r="I29" i="3" s="1"/>
  <c r="H30" i="3"/>
  <c r="I30" i="3" s="1" a="1"/>
  <c r="I30" i="3" s="1"/>
  <c r="H31" i="3"/>
  <c r="I31" i="3" s="1" a="1"/>
  <c r="I31" i="3" s="1"/>
  <c r="H32" i="3"/>
  <c r="I32" i="3" s="1" a="1"/>
  <c r="I32" i="3" s="1"/>
  <c r="H33" i="3"/>
  <c r="I33" i="3" s="1" a="1"/>
  <c r="I33" i="3" s="1"/>
  <c r="H34" i="3"/>
  <c r="I34" i="3" s="1" a="1"/>
  <c r="I34" i="3" s="1"/>
  <c r="H35" i="3"/>
  <c r="I35" i="3" s="1" a="1"/>
  <c r="I35" i="3" s="1"/>
  <c r="H36" i="3"/>
  <c r="I36" i="3" s="1" a="1"/>
  <c r="I36" i="3" s="1"/>
  <c r="H37" i="3"/>
  <c r="I37" i="3" s="1" a="1"/>
  <c r="I37" i="3" s="1"/>
  <c r="H38" i="3"/>
  <c r="I38" i="3" s="1" a="1"/>
  <c r="I38" i="3" s="1"/>
  <c r="H39" i="3"/>
  <c r="I39" i="3" s="1" a="1"/>
  <c r="I39" i="3" s="1"/>
  <c r="H40" i="3"/>
  <c r="I40" i="3" s="1" a="1"/>
  <c r="I40" i="3" s="1"/>
  <c r="H41" i="3"/>
  <c r="I41" i="3" s="1" a="1"/>
  <c r="I41" i="3" s="1"/>
  <c r="H42" i="3"/>
  <c r="I42" i="3" s="1" a="1"/>
  <c r="I42" i="3" s="1"/>
  <c r="H43" i="3"/>
  <c r="I43" i="3" s="1" a="1"/>
  <c r="I43" i="3" s="1"/>
  <c r="H44" i="3"/>
  <c r="I44" i="3" s="1" a="1"/>
  <c r="I44" i="3" s="1"/>
  <c r="H45" i="3"/>
  <c r="I45" i="3" s="1" a="1"/>
  <c r="I45" i="3" s="1"/>
  <c r="H46" i="3"/>
  <c r="I46" i="3" s="1" a="1"/>
  <c r="I46" i="3" s="1"/>
  <c r="H47" i="3"/>
  <c r="I47" i="3" s="1" a="1"/>
  <c r="I47" i="3" s="1"/>
  <c r="H48" i="3"/>
  <c r="I48" i="3" s="1" a="1"/>
  <c r="I48" i="3" s="1"/>
  <c r="H49" i="3"/>
  <c r="I49" i="3" s="1" a="1"/>
  <c r="I49" i="3" s="1"/>
  <c r="H50" i="3"/>
  <c r="I50" i="3" s="1" a="1"/>
  <c r="I50" i="3" s="1"/>
  <c r="H51" i="3"/>
  <c r="I51" i="3" s="1" a="1"/>
  <c r="I51" i="3" s="1"/>
  <c r="H52" i="3"/>
  <c r="I52" i="3" s="1" a="1"/>
  <c r="I52" i="3" s="1"/>
  <c r="H53" i="3"/>
  <c r="I53" i="3" s="1" a="1"/>
  <c r="I53" i="3" s="1"/>
  <c r="H54" i="3"/>
  <c r="I54" i="3" s="1" a="1"/>
  <c r="I54" i="3" s="1"/>
  <c r="H55" i="3"/>
  <c r="I55" i="3" s="1" a="1"/>
  <c r="I55" i="3" s="1"/>
  <c r="H56" i="3"/>
  <c r="I56" i="3" s="1" a="1"/>
  <c r="I56" i="3" s="1"/>
  <c r="H57" i="3"/>
  <c r="I57" i="3" s="1" a="1"/>
  <c r="I57" i="3" s="1"/>
  <c r="H58" i="3"/>
  <c r="I58" i="3" s="1" a="1"/>
  <c r="I58" i="3" s="1"/>
  <c r="H59" i="3"/>
  <c r="I59" i="3" s="1" a="1"/>
  <c r="I59" i="3" s="1"/>
  <c r="H60" i="3"/>
  <c r="I60" i="3" s="1" a="1"/>
  <c r="I60" i="3" s="1"/>
  <c r="H61" i="3"/>
  <c r="I61" i="3" s="1" a="1"/>
  <c r="I61" i="3" s="1"/>
  <c r="H62" i="3"/>
  <c r="I62" i="3" s="1" a="1"/>
  <c r="I62" i="3" s="1"/>
  <c r="H63" i="3"/>
  <c r="I63" i="3" s="1" a="1"/>
  <c r="I63" i="3" s="1"/>
  <c r="H64" i="3"/>
  <c r="I64" i="3" s="1" a="1"/>
  <c r="I64" i="3" s="1"/>
  <c r="H65" i="3"/>
  <c r="I65" i="3" s="1" a="1"/>
  <c r="I65" i="3" s="1"/>
  <c r="H66" i="3"/>
  <c r="I66" i="3" s="1" a="1"/>
  <c r="I66" i="3" s="1"/>
  <c r="H67" i="3"/>
  <c r="I67" i="3" s="1" a="1"/>
  <c r="I67" i="3" s="1"/>
  <c r="H68" i="3"/>
  <c r="I68" i="3" s="1" a="1"/>
  <c r="I68" i="3" s="1"/>
  <c r="H69" i="3"/>
  <c r="I69" i="3" s="1" a="1"/>
  <c r="I69" i="3" s="1"/>
  <c r="H70" i="3"/>
  <c r="I70" i="3" s="1" a="1"/>
  <c r="I70" i="3" s="1"/>
  <c r="H71" i="3"/>
  <c r="I71" i="3" s="1" a="1"/>
  <c r="I71" i="3" s="1"/>
  <c r="H72" i="3"/>
  <c r="I72" i="3" s="1" a="1"/>
  <c r="I72" i="3" s="1"/>
  <c r="H73" i="3"/>
  <c r="I73" i="3" s="1" a="1"/>
  <c r="I73" i="3" s="1"/>
  <c r="H74" i="3"/>
  <c r="I74" i="3" s="1" a="1"/>
  <c r="I74" i="3" s="1"/>
  <c r="H75" i="3"/>
  <c r="I75" i="3" s="1" a="1"/>
  <c r="I75" i="3" s="1"/>
  <c r="H76" i="3"/>
  <c r="I76" i="3" s="1" a="1"/>
  <c r="I76" i="3" s="1"/>
  <c r="H77" i="3"/>
  <c r="I77" i="3" s="1" a="1"/>
  <c r="I77" i="3" s="1"/>
  <c r="H78" i="3"/>
  <c r="I78" i="3" s="1" a="1"/>
  <c r="I78" i="3" s="1"/>
  <c r="H79" i="3"/>
  <c r="I79" i="3" s="1" a="1"/>
  <c r="I79" i="3" s="1"/>
  <c r="H80" i="3"/>
  <c r="I80" i="3" s="1" a="1"/>
  <c r="I80" i="3" s="1"/>
  <c r="H81" i="3"/>
  <c r="I81" i="3" s="1" a="1"/>
  <c r="I81" i="3" s="1"/>
  <c r="H82" i="3"/>
  <c r="I82" i="3" s="1" a="1"/>
  <c r="I82" i="3" s="1"/>
  <c r="H83" i="3"/>
  <c r="I83" i="3" s="1" a="1"/>
  <c r="I83" i="3" s="1"/>
  <c r="H84" i="3"/>
  <c r="I84" i="3" s="1" a="1"/>
  <c r="I84" i="3" s="1"/>
  <c r="H85" i="3"/>
  <c r="I85" i="3" s="1" a="1"/>
  <c r="I85" i="3" s="1"/>
  <c r="H86" i="3"/>
  <c r="I86" i="3" s="1" a="1"/>
  <c r="I86" i="3" s="1"/>
  <c r="H87" i="3"/>
  <c r="I87" i="3" s="1" a="1"/>
  <c r="I87" i="3" s="1"/>
  <c r="H88" i="3"/>
  <c r="I88" i="3" s="1" a="1"/>
  <c r="I88" i="3" s="1"/>
  <c r="H89" i="3"/>
  <c r="I89" i="3" s="1" a="1"/>
  <c r="I89" i="3" s="1"/>
  <c r="H90" i="3"/>
  <c r="I90" i="3" s="1" a="1"/>
  <c r="I90" i="3" s="1"/>
  <c r="H91" i="3"/>
  <c r="I91" i="3" s="1" a="1"/>
  <c r="I91" i="3" s="1"/>
  <c r="H92" i="3"/>
  <c r="I92" i="3" s="1" a="1"/>
  <c r="I92" i="3" s="1"/>
  <c r="H93" i="3"/>
  <c r="I93" i="3" s="1" a="1"/>
  <c r="I93" i="3" s="1"/>
  <c r="H94" i="3"/>
  <c r="I94" i="3" s="1" a="1"/>
  <c r="I94" i="3" s="1"/>
  <c r="H95" i="3"/>
  <c r="I95" i="3" s="1" a="1"/>
  <c r="I95" i="3" s="1"/>
  <c r="H96" i="3"/>
  <c r="I96" i="3" s="1" a="1"/>
  <c r="I96" i="3" s="1"/>
  <c r="H97" i="3"/>
  <c r="I97" i="3" s="1" a="1"/>
  <c r="I97" i="3" s="1"/>
  <c r="H98" i="3"/>
  <c r="I98" i="3" s="1" a="1"/>
  <c r="I98" i="3" s="1"/>
  <c r="H99" i="3"/>
  <c r="I99" i="3" s="1" a="1"/>
  <c r="I99" i="3" s="1"/>
  <c r="H100" i="3"/>
  <c r="I100" i="3" s="1" a="1"/>
  <c r="I100" i="3" s="1"/>
  <c r="H101" i="3"/>
  <c r="I101" i="3" s="1" a="1"/>
  <c r="I101" i="3" s="1"/>
  <c r="H102" i="3"/>
  <c r="I102" i="3" s="1" a="1"/>
  <c r="I102" i="3" s="1"/>
  <c r="H103" i="3"/>
  <c r="I103" i="3" s="1" a="1"/>
  <c r="I103" i="3" s="1"/>
  <c r="H104" i="3"/>
  <c r="I104" i="3" s="1" a="1"/>
  <c r="I104" i="3" s="1"/>
  <c r="H105" i="3"/>
  <c r="I105" i="3" s="1" a="1"/>
  <c r="I105" i="3" s="1"/>
  <c r="H106" i="3"/>
  <c r="I106" i="3" s="1" a="1"/>
  <c r="I106" i="3" s="1"/>
  <c r="H107" i="3"/>
  <c r="I107" i="3" s="1" a="1"/>
  <c r="I107" i="3" s="1"/>
  <c r="H108" i="3"/>
  <c r="I108" i="3" s="1" a="1"/>
  <c r="I108" i="3" s="1"/>
  <c r="H109" i="3"/>
  <c r="I109" i="3" s="1" a="1"/>
  <c r="I109" i="3" s="1"/>
  <c r="H110" i="3"/>
  <c r="I110" i="3" s="1" a="1"/>
  <c r="I110" i="3" s="1"/>
  <c r="H111" i="3"/>
  <c r="I111" i="3" s="1" a="1"/>
  <c r="I111" i="3" s="1"/>
  <c r="H112" i="3"/>
  <c r="I112" i="3" s="1" a="1"/>
  <c r="I112" i="3" s="1"/>
  <c r="H113" i="3"/>
  <c r="I113" i="3" s="1" a="1"/>
  <c r="I113" i="3" s="1"/>
  <c r="H114" i="3"/>
  <c r="I114" i="3" s="1" a="1"/>
  <c r="I114" i="3" s="1"/>
  <c r="H115" i="3"/>
  <c r="I115" i="3" s="1" a="1"/>
  <c r="I115" i="3" s="1"/>
  <c r="H116" i="3"/>
  <c r="I116" i="3" s="1" a="1"/>
  <c r="I116" i="3" s="1"/>
  <c r="H117" i="3"/>
  <c r="I117" i="3" s="1" a="1"/>
  <c r="I117" i="3" s="1"/>
  <c r="H118" i="3"/>
  <c r="I118" i="3" s="1" a="1"/>
  <c r="I118" i="3" s="1"/>
  <c r="H119" i="3"/>
  <c r="I119" i="3" s="1" a="1"/>
  <c r="I119" i="3" s="1"/>
  <c r="H120" i="3"/>
  <c r="I120" i="3" s="1" a="1"/>
  <c r="I120" i="3" s="1"/>
  <c r="H121" i="3"/>
  <c r="I121" i="3" s="1" a="1"/>
  <c r="I121" i="3" s="1"/>
  <c r="H122" i="3"/>
  <c r="I122" i="3" s="1" a="1"/>
  <c r="I122" i="3" s="1"/>
  <c r="H123" i="3"/>
  <c r="I123" i="3" s="1" a="1"/>
  <c r="I123" i="3" s="1"/>
  <c r="H124" i="3"/>
  <c r="I124" i="3" s="1" a="1"/>
  <c r="I124" i="3" s="1"/>
  <c r="H125" i="3"/>
  <c r="I125" i="3" s="1" a="1"/>
  <c r="I125" i="3" s="1"/>
  <c r="H126" i="3"/>
  <c r="I126" i="3" s="1" a="1"/>
  <c r="I126" i="3" s="1"/>
  <c r="H127" i="3"/>
  <c r="I127" i="3" s="1" a="1"/>
  <c r="I127" i="3" s="1"/>
  <c r="H128" i="3"/>
  <c r="I128" i="3" s="1" a="1"/>
  <c r="I128" i="3" s="1"/>
  <c r="H129" i="3"/>
  <c r="I129" i="3" s="1" a="1"/>
  <c r="I129" i="3" s="1"/>
  <c r="H130" i="3"/>
  <c r="I130" i="3" s="1" a="1"/>
  <c r="I130" i="3" s="1"/>
  <c r="H131" i="3"/>
  <c r="I131" i="3" s="1" a="1"/>
  <c r="I131" i="3" s="1"/>
  <c r="H132" i="3"/>
  <c r="I132" i="3" s="1" a="1"/>
  <c r="I132" i="3" s="1"/>
  <c r="H133" i="3"/>
  <c r="I133" i="3" s="1" a="1"/>
  <c r="I133" i="3" s="1"/>
  <c r="H134" i="3"/>
  <c r="I134" i="3" s="1" a="1"/>
  <c r="I134" i="3" s="1"/>
  <c r="H135" i="3"/>
  <c r="I135" i="3" s="1" a="1"/>
  <c r="I135" i="3" s="1"/>
  <c r="H136" i="3"/>
  <c r="I136" i="3" s="1" a="1"/>
  <c r="I136" i="3" s="1"/>
  <c r="H137" i="3"/>
  <c r="I137" i="3" s="1" a="1"/>
  <c r="I137" i="3" s="1"/>
  <c r="H138" i="3"/>
  <c r="I138" i="3" s="1" a="1"/>
  <c r="I138" i="3" s="1"/>
  <c r="H139" i="3"/>
  <c r="I139" i="3" s="1" a="1"/>
  <c r="I139" i="3" s="1"/>
  <c r="H140" i="3"/>
  <c r="I140" i="3" s="1" a="1"/>
  <c r="I140" i="3" s="1"/>
  <c r="H141" i="3"/>
  <c r="I141" i="3" s="1" a="1"/>
  <c r="I141" i="3" s="1"/>
  <c r="H142" i="3"/>
  <c r="I142" i="3" s="1" a="1"/>
  <c r="I142" i="3" s="1"/>
  <c r="H143" i="3"/>
  <c r="I143" i="3" s="1" a="1"/>
  <c r="I143" i="3" s="1"/>
  <c r="H144" i="3"/>
  <c r="I144" i="3" s="1" a="1"/>
  <c r="I144" i="3" s="1"/>
  <c r="H145" i="3"/>
  <c r="I145" i="3" s="1" a="1"/>
  <c r="I145" i="3" s="1"/>
  <c r="H146" i="3"/>
  <c r="I146" i="3" s="1" a="1"/>
  <c r="I146" i="3" s="1"/>
  <c r="H147" i="3"/>
  <c r="I147" i="3" s="1" a="1"/>
  <c r="I147" i="3" s="1"/>
  <c r="H148" i="3"/>
  <c r="I148" i="3" s="1" a="1"/>
  <c r="I148" i="3" s="1"/>
  <c r="H149" i="3"/>
  <c r="I149" i="3" s="1" a="1"/>
  <c r="I149" i="3" s="1"/>
  <c r="H150" i="3"/>
  <c r="I150" i="3" s="1" a="1"/>
  <c r="I150" i="3" s="1"/>
  <c r="H151" i="3"/>
  <c r="I151" i="3" s="1" a="1"/>
  <c r="I151" i="3" s="1"/>
  <c r="H152" i="3"/>
  <c r="I152" i="3" s="1" a="1"/>
  <c r="I152" i="3" s="1"/>
  <c r="H153" i="3"/>
  <c r="I153" i="3" s="1" a="1"/>
  <c r="I153" i="3" s="1"/>
  <c r="H154" i="3"/>
  <c r="I154" i="3" s="1" a="1"/>
  <c r="I154" i="3" s="1"/>
  <c r="H155" i="3"/>
  <c r="I155" i="3" s="1" a="1"/>
  <c r="I155" i="3" s="1"/>
  <c r="H156" i="3"/>
  <c r="I156" i="3" s="1" a="1"/>
  <c r="I156" i="3" s="1"/>
  <c r="H157" i="3"/>
  <c r="I157" i="3" s="1" a="1"/>
  <c r="I157" i="3" s="1"/>
  <c r="H158" i="3"/>
  <c r="I158" i="3" s="1" a="1"/>
  <c r="I158" i="3" s="1"/>
  <c r="H159" i="3"/>
  <c r="I159" i="3" s="1" a="1"/>
  <c r="I159" i="3" s="1"/>
  <c r="H160" i="3"/>
  <c r="I160" i="3" s="1" a="1"/>
  <c r="I160" i="3" s="1"/>
  <c r="H161" i="3"/>
  <c r="I161" i="3" s="1" a="1"/>
  <c r="I161" i="3" s="1"/>
  <c r="H162" i="3"/>
  <c r="I162" i="3" s="1" a="1"/>
  <c r="I162" i="3" s="1"/>
  <c r="H163" i="3"/>
  <c r="I163" i="3" s="1" a="1"/>
  <c r="I163" i="3" s="1"/>
  <c r="H164" i="3"/>
  <c r="I164" i="3" s="1" a="1"/>
  <c r="I164" i="3" s="1"/>
  <c r="H165" i="3"/>
  <c r="I165" i="3" s="1" a="1"/>
  <c r="I165" i="3" s="1"/>
  <c r="H166" i="3"/>
  <c r="I166" i="3" s="1" a="1"/>
  <c r="I166" i="3" s="1"/>
  <c r="H167" i="3"/>
  <c r="I167" i="3" s="1" a="1"/>
  <c r="I167" i="3" s="1"/>
  <c r="H168" i="3"/>
  <c r="I168" i="3" s="1" a="1"/>
  <c r="I168" i="3" s="1"/>
  <c r="H169" i="3"/>
  <c r="I169" i="3" s="1" a="1"/>
  <c r="I169" i="3" s="1"/>
  <c r="H170" i="3"/>
  <c r="I170" i="3" s="1" a="1"/>
  <c r="I170" i="3" s="1"/>
  <c r="H171" i="3"/>
  <c r="I171" i="3" s="1" a="1"/>
  <c r="I171" i="3" s="1"/>
  <c r="H172" i="3"/>
  <c r="I172" i="3" s="1" a="1"/>
  <c r="I172" i="3" s="1"/>
  <c r="H173" i="3"/>
  <c r="I173" i="3" s="1" a="1"/>
  <c r="I173" i="3" s="1"/>
  <c r="H174" i="3"/>
  <c r="I174" i="3" s="1" a="1"/>
  <c r="I174" i="3" s="1"/>
  <c r="H175" i="3"/>
  <c r="I175" i="3" s="1" a="1"/>
  <c r="I175" i="3" s="1"/>
  <c r="H176" i="3"/>
  <c r="I176" i="3" s="1" a="1"/>
  <c r="I176" i="3" s="1"/>
  <c r="H177" i="3"/>
  <c r="I177" i="3" s="1" a="1"/>
  <c r="I177" i="3" s="1"/>
  <c r="H178" i="3"/>
  <c r="I178" i="3" s="1" a="1"/>
  <c r="I178" i="3" s="1"/>
  <c r="H179" i="3"/>
  <c r="I179" i="3" s="1" a="1"/>
  <c r="I179" i="3" s="1"/>
  <c r="H180" i="3"/>
  <c r="I180" i="3" s="1" a="1"/>
  <c r="I180" i="3" s="1"/>
  <c r="H181" i="3"/>
  <c r="I181" i="3" s="1" a="1"/>
  <c r="I181" i="3" s="1"/>
  <c r="H182" i="3"/>
  <c r="I182" i="3" s="1" a="1"/>
  <c r="I182" i="3" s="1"/>
  <c r="H183" i="3"/>
  <c r="I183" i="3" s="1" a="1"/>
  <c r="I183" i="3" s="1"/>
  <c r="H184" i="3"/>
  <c r="I184" i="3" s="1" a="1"/>
  <c r="I184" i="3" s="1"/>
  <c r="H185" i="3"/>
  <c r="I185" i="3" s="1" a="1"/>
  <c r="I185" i="3" s="1"/>
  <c r="H186" i="3"/>
  <c r="I186" i="3" s="1" a="1"/>
  <c r="I186" i="3" s="1"/>
  <c r="H187" i="3"/>
  <c r="I187" i="3" s="1" a="1"/>
  <c r="I187" i="3" s="1"/>
  <c r="H188" i="3"/>
  <c r="I188" i="3" s="1" a="1"/>
  <c r="I188" i="3" s="1"/>
  <c r="H189" i="3"/>
  <c r="I189" i="3" s="1" a="1"/>
  <c r="I189" i="3" s="1"/>
  <c r="H190" i="3"/>
  <c r="I190" i="3" s="1" a="1"/>
  <c r="I190" i="3" s="1"/>
  <c r="H191" i="3"/>
  <c r="I191" i="3" s="1" a="1"/>
  <c r="I191" i="3" s="1"/>
  <c r="H192" i="3"/>
  <c r="I192" i="3" s="1" a="1"/>
  <c r="I192" i="3" s="1"/>
  <c r="H193" i="3"/>
  <c r="I193" i="3" s="1" a="1"/>
  <c r="I193" i="3" s="1"/>
  <c r="H194" i="3"/>
  <c r="I194" i="3" s="1" a="1"/>
  <c r="I194" i="3" s="1"/>
  <c r="H195" i="3"/>
  <c r="I195" i="3" s="1" a="1"/>
  <c r="I195" i="3" s="1"/>
  <c r="H196" i="3"/>
  <c r="I196" i="3" s="1" a="1"/>
  <c r="I196" i="3" s="1"/>
  <c r="H197" i="3"/>
  <c r="I197" i="3" s="1" a="1"/>
  <c r="I197" i="3" s="1"/>
  <c r="H198" i="3"/>
  <c r="I198" i="3" s="1" a="1"/>
  <c r="I198" i="3" s="1"/>
  <c r="H199" i="3"/>
  <c r="I199" i="3" s="1" a="1"/>
  <c r="I199" i="3" s="1"/>
  <c r="H200" i="3"/>
  <c r="I200" i="3" s="1" a="1"/>
  <c r="I200" i="3" s="1"/>
  <c r="H201" i="3"/>
  <c r="I201" i="3" s="1" a="1"/>
  <c r="I201" i="3" s="1"/>
  <c r="H202" i="3"/>
  <c r="I202" i="3" s="1" a="1"/>
  <c r="I202" i="3" s="1"/>
  <c r="H203" i="3"/>
  <c r="I203" i="3" s="1" a="1"/>
  <c r="I203" i="3" s="1"/>
  <c r="H204" i="3"/>
  <c r="I204" i="3" s="1" a="1"/>
  <c r="I204" i="3" s="1"/>
  <c r="H205" i="3"/>
  <c r="I205" i="3" s="1" a="1"/>
  <c r="I205" i="3" s="1"/>
  <c r="H206" i="3"/>
  <c r="I206" i="3" s="1" a="1"/>
  <c r="I206" i="3" s="1"/>
  <c r="H207" i="3"/>
  <c r="I207" i="3" s="1" a="1"/>
  <c r="I207" i="3" s="1"/>
  <c r="H208" i="3"/>
  <c r="I208" i="3" s="1" a="1"/>
  <c r="I208" i="3" s="1"/>
  <c r="H209" i="3"/>
  <c r="I209" i="3" s="1" a="1"/>
  <c r="I209" i="3" s="1"/>
  <c r="H210" i="3"/>
  <c r="I210" i="3" s="1" a="1"/>
  <c r="I210" i="3" s="1"/>
  <c r="H211" i="3"/>
  <c r="I211" i="3" s="1" a="1"/>
  <c r="I211" i="3" s="1"/>
  <c r="H212" i="3"/>
  <c r="I212" i="3" s="1" a="1"/>
  <c r="I212" i="3" s="1"/>
  <c r="H213" i="3"/>
  <c r="I213" i="3" s="1" a="1"/>
  <c r="I213" i="3" s="1"/>
  <c r="H214" i="3"/>
  <c r="I214" i="3" s="1" a="1"/>
  <c r="I214" i="3" s="1"/>
  <c r="H215" i="3"/>
  <c r="I215" i="3" s="1" a="1"/>
  <c r="I215" i="3" s="1"/>
  <c r="H216" i="3"/>
  <c r="I216" i="3" s="1" a="1"/>
  <c r="I216" i="3" s="1"/>
  <c r="H217" i="3"/>
  <c r="I217" i="3" s="1" a="1"/>
  <c r="I217" i="3" s="1"/>
  <c r="H218" i="3"/>
  <c r="I218" i="3" s="1" a="1"/>
  <c r="I218" i="3" s="1"/>
  <c r="H219" i="3"/>
  <c r="I219" i="3" s="1" a="1"/>
  <c r="I219" i="3" s="1"/>
  <c r="H220" i="3"/>
  <c r="I220" i="3" s="1" a="1"/>
  <c r="I220" i="3" s="1"/>
  <c r="H221" i="3"/>
  <c r="I221" i="3" s="1" a="1"/>
  <c r="I221" i="3" s="1"/>
  <c r="H222" i="3"/>
  <c r="I222" i="3" s="1" a="1"/>
  <c r="I222" i="3" s="1"/>
  <c r="H223" i="3"/>
  <c r="I223" i="3" s="1" a="1"/>
  <c r="I223" i="3" s="1"/>
  <c r="H224" i="3"/>
  <c r="I224" i="3" s="1" a="1"/>
  <c r="I224" i="3" s="1"/>
  <c r="H225" i="3"/>
  <c r="I225" i="3" s="1" a="1"/>
  <c r="I225" i="3" s="1"/>
  <c r="H226" i="3"/>
  <c r="I226" i="3" s="1" a="1"/>
  <c r="I226" i="3" s="1"/>
  <c r="H227" i="3"/>
  <c r="I227" i="3" s="1" a="1"/>
  <c r="I227" i="3" s="1"/>
  <c r="H228" i="3"/>
  <c r="I228" i="3" s="1" a="1"/>
  <c r="I228" i="3" s="1"/>
  <c r="H229" i="3"/>
  <c r="I229" i="3" s="1" a="1"/>
  <c r="I229" i="3" s="1"/>
  <c r="H230" i="3"/>
  <c r="I230" i="3" s="1" a="1"/>
  <c r="I230" i="3" s="1"/>
  <c r="H231" i="3"/>
  <c r="I231" i="3" s="1" a="1"/>
  <c r="I231" i="3" s="1"/>
  <c r="H232" i="3"/>
  <c r="I232" i="3" s="1" a="1"/>
  <c r="I232" i="3" s="1"/>
  <c r="H233" i="3"/>
  <c r="I233" i="3" s="1" a="1"/>
  <c r="I233" i="3" s="1"/>
  <c r="H234" i="3"/>
  <c r="I234" i="3" s="1" a="1"/>
  <c r="I234" i="3" s="1"/>
  <c r="H235" i="3"/>
  <c r="I235" i="3" s="1" a="1"/>
  <c r="I235" i="3" s="1"/>
  <c r="H236" i="3"/>
  <c r="I236" i="3" s="1" a="1"/>
  <c r="I236" i="3" s="1"/>
  <c r="H237" i="3"/>
  <c r="I237" i="3" s="1" a="1"/>
  <c r="I237" i="3" s="1"/>
  <c r="H238" i="3"/>
  <c r="I238" i="3" s="1" a="1"/>
  <c r="I238" i="3" s="1"/>
  <c r="H239" i="3"/>
  <c r="I239" i="3" s="1" a="1"/>
  <c r="I239" i="3" s="1"/>
  <c r="H240" i="3"/>
  <c r="I240" i="3" s="1" a="1"/>
  <c r="I240" i="3" s="1"/>
  <c r="H241" i="3"/>
  <c r="I241" i="3" s="1" a="1"/>
  <c r="I241" i="3" s="1"/>
  <c r="H242" i="3"/>
  <c r="I242" i="3" s="1" a="1"/>
  <c r="I242" i="3" s="1"/>
  <c r="H243" i="3"/>
  <c r="I243" i="3" s="1" a="1"/>
  <c r="I243" i="3" s="1"/>
  <c r="H244" i="3"/>
  <c r="I244" i="3" s="1" a="1"/>
  <c r="I244" i="3" s="1"/>
  <c r="H245" i="3"/>
  <c r="I245" i="3" s="1" a="1"/>
  <c r="I245" i="3" s="1"/>
  <c r="H246" i="3"/>
  <c r="I246" i="3" s="1" a="1"/>
  <c r="I246" i="3" s="1"/>
  <c r="H247" i="3"/>
  <c r="I247" i="3" s="1" a="1"/>
  <c r="I247" i="3" s="1"/>
  <c r="H248" i="3"/>
  <c r="I248" i="3" s="1" a="1"/>
  <c r="I248" i="3" s="1"/>
  <c r="H249" i="3"/>
  <c r="I249" i="3" s="1" a="1"/>
  <c r="I249" i="3" s="1"/>
  <c r="H250" i="3"/>
  <c r="I250" i="3" s="1" a="1"/>
  <c r="I250" i="3" s="1"/>
  <c r="H251" i="3"/>
  <c r="I251" i="3" s="1" a="1"/>
  <c r="I251" i="3" s="1"/>
  <c r="H252" i="3"/>
  <c r="I252" i="3" s="1" a="1"/>
  <c r="I252" i="3" s="1"/>
  <c r="H253" i="3"/>
  <c r="I253" i="3" s="1" a="1"/>
  <c r="I253" i="3" s="1"/>
  <c r="H254" i="3"/>
  <c r="I254" i="3" s="1" a="1"/>
  <c r="I254" i="3" s="1"/>
  <c r="H255" i="3"/>
  <c r="I255" i="3" s="1" a="1"/>
  <c r="I255" i="3" s="1"/>
  <c r="H256" i="3"/>
  <c r="I256" i="3" s="1" a="1"/>
  <c r="I256" i="3" s="1"/>
  <c r="H257" i="3"/>
  <c r="I257" i="3" s="1" a="1"/>
  <c r="I257" i="3" s="1"/>
  <c r="H258" i="3"/>
  <c r="I258" i="3" s="1" a="1"/>
  <c r="I258" i="3" s="1"/>
  <c r="H259" i="3"/>
  <c r="I259" i="3" s="1" a="1"/>
  <c r="I259" i="3" s="1"/>
  <c r="H260" i="3"/>
  <c r="I260" i="3" s="1" a="1"/>
  <c r="I260" i="3" s="1"/>
  <c r="H261" i="3"/>
  <c r="I261" i="3" s="1" a="1"/>
  <c r="I261" i="3" s="1"/>
  <c r="H262" i="3"/>
  <c r="I262" i="3" s="1" a="1"/>
  <c r="I262" i="3" s="1"/>
  <c r="H263" i="3"/>
  <c r="I263" i="3" s="1" a="1"/>
  <c r="I263" i="3" s="1"/>
  <c r="H264" i="3"/>
  <c r="I264" i="3" s="1" a="1"/>
  <c r="I264" i="3" s="1"/>
  <c r="H265" i="3"/>
  <c r="I265" i="3" s="1" a="1"/>
  <c r="I265" i="3" s="1"/>
  <c r="H266" i="3"/>
  <c r="I266" i="3" s="1" a="1"/>
  <c r="I266" i="3" s="1"/>
  <c r="H267" i="3"/>
  <c r="I267" i="3" s="1" a="1"/>
  <c r="I267" i="3" s="1"/>
  <c r="H268" i="3"/>
  <c r="I268" i="3" s="1" a="1"/>
  <c r="I268" i="3" s="1"/>
  <c r="H269" i="3"/>
  <c r="I269" i="3" s="1" a="1"/>
  <c r="I269" i="3" s="1"/>
  <c r="H270" i="3"/>
  <c r="I270" i="3" s="1" a="1"/>
  <c r="I270" i="3" s="1"/>
  <c r="H271" i="3"/>
  <c r="I271" i="3" s="1" a="1"/>
  <c r="I271" i="3" s="1"/>
  <c r="H272" i="3"/>
  <c r="I272" i="3" s="1" a="1"/>
  <c r="I272" i="3" s="1"/>
  <c r="H273" i="3"/>
  <c r="I273" i="3" s="1" a="1"/>
  <c r="I273" i="3" s="1"/>
  <c r="H274" i="3"/>
  <c r="I274" i="3" s="1" a="1"/>
  <c r="I274" i="3" s="1"/>
  <c r="H275" i="3"/>
  <c r="I275" i="3" s="1" a="1"/>
  <c r="I275" i="3" s="1"/>
  <c r="H276" i="3"/>
  <c r="I276" i="3" s="1" a="1"/>
  <c r="I276" i="3" s="1"/>
  <c r="H277" i="3"/>
  <c r="I277" i="3" s="1" a="1"/>
  <c r="I277" i="3" s="1"/>
  <c r="H278" i="3"/>
  <c r="I278" i="3" s="1" a="1"/>
  <c r="I278" i="3" s="1"/>
  <c r="H279" i="3"/>
  <c r="I279" i="3" s="1" a="1"/>
  <c r="I279" i="3" s="1"/>
  <c r="H280" i="3"/>
  <c r="I280" i="3" s="1" a="1"/>
  <c r="I280" i="3" s="1"/>
  <c r="H281" i="3"/>
  <c r="I281" i="3" s="1" a="1"/>
  <c r="I281" i="3" s="1"/>
  <c r="H282" i="3"/>
  <c r="I282" i="3" s="1" a="1"/>
  <c r="I282" i="3" s="1"/>
  <c r="H283" i="3"/>
  <c r="I283" i="3" s="1" a="1"/>
  <c r="I283" i="3" s="1"/>
  <c r="H284" i="3"/>
  <c r="I284" i="3" s="1" a="1"/>
  <c r="I284" i="3" s="1"/>
  <c r="H285" i="3"/>
  <c r="I285" i="3" s="1" a="1"/>
  <c r="I285" i="3" s="1"/>
  <c r="H286" i="3"/>
  <c r="I286" i="3" s="1" a="1"/>
  <c r="I286" i="3" s="1"/>
  <c r="H287" i="3"/>
  <c r="I287" i="3" s="1" a="1"/>
  <c r="I287" i="3" s="1"/>
  <c r="H288" i="3"/>
  <c r="I288" i="3" s="1" a="1"/>
  <c r="I288" i="3" s="1"/>
  <c r="H289" i="3"/>
  <c r="I289" i="3" s="1" a="1"/>
  <c r="I289" i="3" s="1"/>
  <c r="H290" i="3"/>
  <c r="I290" i="3" s="1" a="1"/>
  <c r="I290" i="3" s="1"/>
  <c r="H291" i="3"/>
  <c r="I291" i="3" s="1" a="1"/>
  <c r="I291" i="3" s="1"/>
  <c r="H292" i="3"/>
  <c r="I292" i="3" s="1" a="1"/>
  <c r="I292" i="3" s="1"/>
  <c r="H293" i="3"/>
  <c r="I293" i="3" s="1" a="1"/>
  <c r="I293" i="3" s="1"/>
  <c r="H294" i="3"/>
  <c r="I294" i="3" s="1" a="1"/>
  <c r="I294" i="3" s="1"/>
  <c r="H295" i="3"/>
  <c r="I295" i="3" s="1" a="1"/>
  <c r="I295" i="3" s="1"/>
  <c r="H296" i="3"/>
  <c r="I296" i="3" s="1" a="1"/>
  <c r="I296" i="3" s="1"/>
  <c r="H297" i="3"/>
  <c r="I297" i="3" s="1" a="1"/>
  <c r="I297" i="3" s="1"/>
  <c r="H298" i="3"/>
  <c r="I298" i="3" s="1" a="1"/>
  <c r="I298" i="3" s="1"/>
  <c r="H299" i="3"/>
  <c r="I299" i="3" s="1" a="1"/>
  <c r="I299" i="3" s="1"/>
  <c r="H300" i="3"/>
  <c r="I300" i="3" s="1" a="1"/>
  <c r="I300" i="3" s="1"/>
  <c r="H301" i="3"/>
  <c r="I301" i="3" s="1" a="1"/>
  <c r="I301" i="3" s="1"/>
  <c r="H302" i="3"/>
  <c r="I302" i="3" s="1" a="1"/>
  <c r="I302" i="3" s="1"/>
  <c r="H303" i="3"/>
  <c r="I303" i="3" s="1" a="1"/>
  <c r="I303" i="3" s="1"/>
  <c r="H304" i="3"/>
  <c r="I304" i="3" s="1" a="1"/>
  <c r="I304" i="3" s="1"/>
  <c r="H305" i="3"/>
  <c r="I305" i="3" s="1" a="1"/>
  <c r="I305" i="3" s="1"/>
  <c r="H306" i="3"/>
  <c r="I306" i="3" s="1" a="1"/>
  <c r="I306" i="3" s="1"/>
  <c r="H307" i="3"/>
  <c r="I307" i="3" s="1" a="1"/>
  <c r="I307" i="3" s="1"/>
  <c r="H308" i="3"/>
  <c r="I308" i="3" s="1" a="1"/>
  <c r="I308" i="3" s="1"/>
  <c r="H309" i="3"/>
  <c r="I309" i="3" s="1" a="1"/>
  <c r="I309" i="3" s="1"/>
  <c r="H310" i="3"/>
  <c r="I310" i="3" s="1" a="1"/>
  <c r="I310" i="3" s="1"/>
  <c r="H311" i="3"/>
  <c r="I311" i="3" s="1" a="1"/>
  <c r="I311" i="3" s="1"/>
  <c r="H312" i="3"/>
  <c r="I312" i="3" s="1" a="1"/>
  <c r="I312" i="3" s="1"/>
  <c r="H313" i="3"/>
  <c r="I313" i="3" s="1" a="1"/>
  <c r="I313" i="3" s="1"/>
  <c r="H314" i="3"/>
  <c r="I314" i="3" s="1" a="1"/>
  <c r="I314" i="3" s="1"/>
  <c r="H315" i="3"/>
  <c r="I315" i="3" s="1" a="1"/>
  <c r="I315" i="3" s="1"/>
  <c r="H316" i="3"/>
  <c r="I316" i="3" s="1" a="1"/>
  <c r="I316" i="3" s="1"/>
  <c r="H317" i="3"/>
  <c r="I317" i="3" s="1" a="1"/>
  <c r="I317" i="3" s="1"/>
  <c r="H318" i="3"/>
  <c r="I318" i="3" s="1" a="1"/>
  <c r="I318" i="3" s="1"/>
  <c r="H319" i="3"/>
  <c r="I319" i="3" s="1" a="1"/>
  <c r="I319" i="3" s="1"/>
  <c r="H320" i="3"/>
  <c r="I320" i="3" s="1" a="1"/>
  <c r="I320" i="3" s="1"/>
  <c r="H321" i="3"/>
  <c r="I321" i="3" s="1" a="1"/>
  <c r="I321" i="3" s="1"/>
  <c r="H322" i="3"/>
  <c r="I322" i="3" s="1" a="1"/>
  <c r="I322" i="3" s="1"/>
  <c r="H323" i="3"/>
  <c r="I323" i="3" s="1" a="1"/>
  <c r="I323" i="3" s="1"/>
  <c r="H324" i="3"/>
  <c r="I324" i="3" s="1" a="1"/>
  <c r="I324" i="3" s="1"/>
  <c r="H325" i="3"/>
  <c r="I325" i="3" s="1" a="1"/>
  <c r="I325" i="3" s="1"/>
  <c r="H326" i="3"/>
  <c r="I326" i="3" s="1" a="1"/>
  <c r="I326" i="3" s="1"/>
  <c r="H327" i="3"/>
  <c r="I327" i="3" s="1" a="1"/>
  <c r="I327" i="3" s="1"/>
  <c r="H328" i="3"/>
  <c r="I328" i="3" s="1" a="1"/>
  <c r="I328" i="3" s="1"/>
  <c r="H329" i="3"/>
  <c r="I329" i="3" s="1" a="1"/>
  <c r="I329" i="3" s="1"/>
  <c r="H330" i="3"/>
  <c r="I330" i="3" s="1" a="1"/>
  <c r="I330" i="3" s="1"/>
  <c r="H331" i="3"/>
  <c r="I331" i="3" s="1" a="1"/>
  <c r="I331" i="3" s="1"/>
  <c r="H332" i="3"/>
  <c r="I332" i="3" s="1" a="1"/>
  <c r="I332" i="3" s="1"/>
  <c r="H333" i="3"/>
  <c r="I333" i="3" s="1" a="1"/>
  <c r="I333" i="3" s="1"/>
  <c r="H334" i="3"/>
  <c r="I334" i="3" s="1" a="1"/>
  <c r="I334" i="3" s="1"/>
  <c r="H335" i="3"/>
  <c r="I335" i="3" s="1" a="1"/>
  <c r="I335" i="3" s="1"/>
  <c r="H336" i="3"/>
  <c r="I336" i="3" s="1" a="1"/>
  <c r="I336" i="3" s="1"/>
  <c r="H337" i="3"/>
  <c r="I337" i="3" s="1" a="1"/>
  <c r="I337" i="3" s="1"/>
  <c r="H338" i="3"/>
  <c r="I338" i="3" s="1" a="1"/>
  <c r="I338" i="3" s="1"/>
  <c r="H339" i="3"/>
  <c r="I339" i="3" s="1" a="1"/>
  <c r="I339" i="3" s="1"/>
  <c r="H340" i="3"/>
  <c r="I340" i="3" s="1" a="1"/>
  <c r="I340" i="3" s="1"/>
  <c r="H341" i="3"/>
  <c r="I341" i="3" s="1" a="1"/>
  <c r="I341" i="3" s="1"/>
  <c r="H342" i="3"/>
  <c r="I342" i="3" s="1" a="1"/>
  <c r="I342" i="3" s="1"/>
  <c r="H343" i="3"/>
  <c r="I343" i="3" s="1" a="1"/>
  <c r="I343" i="3" s="1"/>
  <c r="H344" i="3"/>
  <c r="I344" i="3" s="1" a="1"/>
  <c r="I344" i="3" s="1"/>
  <c r="H345" i="3"/>
  <c r="I345" i="3" s="1" a="1"/>
  <c r="I345" i="3" s="1"/>
  <c r="H346" i="3"/>
  <c r="I346" i="3" s="1" a="1"/>
  <c r="I346" i="3" s="1"/>
  <c r="H347" i="3"/>
  <c r="I347" i="3" s="1" a="1"/>
  <c r="I347" i="3" s="1"/>
  <c r="H348" i="3"/>
  <c r="I348" i="3" s="1" a="1"/>
  <c r="I348" i="3" s="1"/>
  <c r="H349" i="3"/>
  <c r="I349" i="3" s="1" a="1"/>
  <c r="I349" i="3" s="1"/>
  <c r="H350" i="3"/>
  <c r="I350" i="3" s="1" a="1"/>
  <c r="I350" i="3" s="1"/>
  <c r="H351" i="3"/>
  <c r="I351" i="3" s="1" a="1"/>
  <c r="I351" i="3" s="1"/>
  <c r="H352" i="3"/>
  <c r="I352" i="3" s="1" a="1"/>
  <c r="I352" i="3" s="1"/>
  <c r="H353" i="3"/>
  <c r="I353" i="3" s="1" a="1"/>
  <c r="I353" i="3" s="1"/>
  <c r="H354" i="3"/>
  <c r="I354" i="3" s="1" a="1"/>
  <c r="I354" i="3" s="1"/>
  <c r="H355" i="3"/>
  <c r="I355" i="3" s="1" a="1"/>
  <c r="I355" i="3" s="1"/>
  <c r="H356" i="3"/>
  <c r="I356" i="3" s="1" a="1"/>
  <c r="I356" i="3" s="1"/>
  <c r="H357" i="3"/>
  <c r="I357" i="3" s="1" a="1"/>
  <c r="I357" i="3" s="1"/>
  <c r="H358" i="3"/>
  <c r="I358" i="3" s="1" a="1"/>
  <c r="I358" i="3" s="1"/>
  <c r="H359" i="3"/>
  <c r="I359" i="3" s="1" a="1"/>
  <c r="I359" i="3" s="1"/>
  <c r="H360" i="3"/>
  <c r="I360" i="3" s="1" a="1"/>
  <c r="I360" i="3" s="1"/>
  <c r="H361" i="3"/>
  <c r="I361" i="3" s="1" a="1"/>
  <c r="I361" i="3" s="1"/>
  <c r="H362" i="3"/>
  <c r="I362" i="3" s="1" a="1"/>
  <c r="I362" i="3" s="1"/>
  <c r="H363" i="3"/>
  <c r="I363" i="3" s="1" a="1"/>
  <c r="I363" i="3" s="1"/>
  <c r="H364" i="3"/>
  <c r="I364" i="3" s="1" a="1"/>
  <c r="I364" i="3" s="1"/>
  <c r="H365" i="3"/>
  <c r="I365" i="3" s="1" a="1"/>
  <c r="I365" i="3" s="1"/>
  <c r="H366" i="3"/>
  <c r="I366" i="3" s="1" a="1"/>
  <c r="I366" i="3" s="1"/>
  <c r="H367" i="3"/>
  <c r="I367" i="3" s="1" a="1"/>
  <c r="I367" i="3" s="1"/>
  <c r="H368" i="3"/>
  <c r="I368" i="3" s="1" a="1"/>
  <c r="I368" i="3" s="1"/>
  <c r="H369" i="3"/>
  <c r="I369" i="3" s="1" a="1"/>
  <c r="I369" i="3" s="1"/>
  <c r="H370" i="3"/>
  <c r="I370" i="3" s="1" a="1"/>
  <c r="I370" i="3" s="1"/>
  <c r="H371" i="3"/>
  <c r="I371" i="3" s="1" a="1"/>
  <c r="I371" i="3" s="1"/>
  <c r="H372" i="3"/>
  <c r="I372" i="3" s="1" a="1"/>
  <c r="I372" i="3" s="1"/>
  <c r="H373" i="3"/>
  <c r="I373" i="3" s="1" a="1"/>
  <c r="I373" i="3" s="1"/>
  <c r="H374" i="3"/>
  <c r="I374" i="3" s="1" a="1"/>
  <c r="I374" i="3" s="1"/>
  <c r="H375" i="3"/>
  <c r="I375" i="3" s="1" a="1"/>
  <c r="I375" i="3" s="1"/>
  <c r="H376" i="3"/>
  <c r="I376" i="3" s="1" a="1"/>
  <c r="I376" i="3" s="1"/>
  <c r="H377" i="3"/>
  <c r="I377" i="3" s="1" a="1"/>
  <c r="I377" i="3" s="1"/>
  <c r="H378" i="3"/>
  <c r="I378" i="3" s="1" a="1"/>
  <c r="I378" i="3" s="1"/>
  <c r="H379" i="3"/>
  <c r="I379" i="3" s="1" a="1"/>
  <c r="I379" i="3" s="1"/>
  <c r="H380" i="3"/>
  <c r="I380" i="3" s="1" a="1"/>
  <c r="I380" i="3" s="1"/>
  <c r="H381" i="3"/>
  <c r="I381" i="3" s="1" a="1"/>
  <c r="I381" i="3" s="1"/>
  <c r="H382" i="3"/>
  <c r="I382" i="3" s="1" a="1"/>
  <c r="I382" i="3" s="1"/>
  <c r="H383" i="3"/>
  <c r="I383" i="3" s="1" a="1"/>
  <c r="I383" i="3" s="1"/>
  <c r="H384" i="3"/>
  <c r="I384" i="3" s="1" a="1"/>
  <c r="I384" i="3" s="1"/>
  <c r="H385" i="3"/>
  <c r="I385" i="3" s="1" a="1"/>
  <c r="I385" i="3" s="1"/>
  <c r="H386" i="3"/>
  <c r="I386" i="3" s="1" a="1"/>
  <c r="I386" i="3" s="1"/>
  <c r="H387" i="3"/>
  <c r="I387" i="3" s="1" a="1"/>
  <c r="I387" i="3" s="1"/>
  <c r="H388" i="3"/>
  <c r="I388" i="3" s="1" a="1"/>
  <c r="I388" i="3" s="1"/>
  <c r="H389" i="3"/>
  <c r="I389" i="3" s="1" a="1"/>
  <c r="I389" i="3" s="1"/>
  <c r="H390" i="3"/>
  <c r="I390" i="3" s="1" a="1"/>
  <c r="I390" i="3" s="1"/>
  <c r="H391" i="3"/>
  <c r="I391" i="3" s="1" a="1"/>
  <c r="I391" i="3" s="1"/>
  <c r="H392" i="3"/>
  <c r="I392" i="3" s="1" a="1"/>
  <c r="I392" i="3" s="1"/>
  <c r="H393" i="3"/>
  <c r="I393" i="3" s="1" a="1"/>
  <c r="I393" i="3" s="1"/>
  <c r="H394" i="3"/>
  <c r="I394" i="3" s="1" a="1"/>
  <c r="I394" i="3" s="1"/>
  <c r="H395" i="3"/>
  <c r="I395" i="3" s="1" a="1"/>
  <c r="I395" i="3" s="1"/>
  <c r="H396" i="3"/>
  <c r="I396" i="3" s="1" a="1"/>
  <c r="I396" i="3" s="1"/>
  <c r="H397" i="3"/>
  <c r="I397" i="3" s="1" a="1"/>
  <c r="I397" i="3" s="1"/>
  <c r="H398" i="3"/>
  <c r="I398" i="3" s="1" a="1"/>
  <c r="I398" i="3" s="1"/>
  <c r="H399" i="3"/>
  <c r="I399" i="3" s="1" a="1"/>
  <c r="I399" i="3" s="1"/>
  <c r="H400" i="3"/>
  <c r="I400" i="3" s="1" a="1"/>
  <c r="I400" i="3" s="1"/>
  <c r="H401" i="3"/>
  <c r="I401" i="3" s="1" a="1"/>
  <c r="I401" i="3" s="1"/>
  <c r="H402" i="3"/>
  <c r="I402" i="3" s="1" a="1"/>
  <c r="I402" i="3" s="1"/>
  <c r="H403" i="3"/>
  <c r="I403" i="3" s="1" a="1"/>
  <c r="I403" i="3" s="1"/>
  <c r="H404" i="3"/>
  <c r="I404" i="3" s="1" a="1"/>
  <c r="I404" i="3" s="1"/>
  <c r="H405" i="3"/>
  <c r="I405" i="3" s="1" a="1"/>
  <c r="I405" i="3" s="1"/>
  <c r="H406" i="3"/>
  <c r="I406" i="3" s="1" a="1"/>
  <c r="I406" i="3" s="1"/>
  <c r="H407" i="3"/>
  <c r="I407" i="3" s="1" a="1"/>
  <c r="I407" i="3" s="1"/>
  <c r="H408" i="3"/>
  <c r="I408" i="3" s="1" a="1"/>
  <c r="I408" i="3" s="1"/>
  <c r="H409" i="3"/>
  <c r="I409" i="3" s="1" a="1"/>
  <c r="I409" i="3" s="1"/>
  <c r="H410" i="3"/>
  <c r="I410" i="3" s="1" a="1"/>
  <c r="I410" i="3" s="1"/>
  <c r="H411" i="3"/>
  <c r="I411" i="3" s="1" a="1"/>
  <c r="I411" i="3" s="1"/>
  <c r="H412" i="3"/>
  <c r="I412" i="3" s="1" a="1"/>
  <c r="I412" i="3" s="1"/>
  <c r="H413" i="3"/>
  <c r="I413" i="3" s="1" a="1"/>
  <c r="I413" i="3" s="1"/>
  <c r="H414" i="3"/>
  <c r="I414" i="3" s="1" a="1"/>
  <c r="I414" i="3" s="1"/>
  <c r="H415" i="3"/>
  <c r="I415" i="3" s="1" a="1"/>
  <c r="I415" i="3" s="1"/>
  <c r="H416" i="3"/>
  <c r="I416" i="3" s="1" a="1"/>
  <c r="I416" i="3" s="1"/>
  <c r="H417" i="3"/>
  <c r="I417" i="3" s="1" a="1"/>
  <c r="I417" i="3" s="1"/>
  <c r="H418" i="3"/>
  <c r="I418" i="3" s="1" a="1"/>
  <c r="I418" i="3" s="1"/>
  <c r="H419" i="3"/>
  <c r="I419" i="3" s="1" a="1"/>
  <c r="I419" i="3" s="1"/>
  <c r="H420" i="3"/>
  <c r="I420" i="3" s="1" a="1"/>
  <c r="I420" i="3" s="1"/>
  <c r="H421" i="3"/>
  <c r="I421" i="3" s="1" a="1"/>
  <c r="I421" i="3" s="1"/>
  <c r="H422" i="3"/>
  <c r="I422" i="3" s="1" a="1"/>
  <c r="I422" i="3" s="1"/>
  <c r="H423" i="3"/>
  <c r="I423" i="3" s="1" a="1"/>
  <c r="I423" i="3" s="1"/>
  <c r="H424" i="3"/>
  <c r="I424" i="3" s="1" a="1"/>
  <c r="I424" i="3" s="1"/>
  <c r="H425" i="3"/>
  <c r="I425" i="3" s="1" a="1"/>
  <c r="I425" i="3" s="1"/>
  <c r="H426" i="3"/>
  <c r="I426" i="3" s="1" a="1"/>
  <c r="I426" i="3" s="1"/>
  <c r="H427" i="3"/>
  <c r="I427" i="3" s="1" a="1"/>
  <c r="I427" i="3" s="1"/>
  <c r="H428" i="3"/>
  <c r="I428" i="3" s="1" a="1"/>
  <c r="I428" i="3" s="1"/>
  <c r="H429" i="3"/>
  <c r="I429" i="3" s="1" a="1"/>
  <c r="I429" i="3" s="1"/>
  <c r="H430" i="3"/>
  <c r="I430" i="3" s="1" a="1"/>
  <c r="I430" i="3" s="1"/>
  <c r="H431" i="3"/>
  <c r="I431" i="3" s="1" a="1"/>
  <c r="I431" i="3" s="1"/>
  <c r="H432" i="3"/>
  <c r="I432" i="3" s="1" a="1"/>
  <c r="I432" i="3" s="1"/>
  <c r="H433" i="3"/>
  <c r="I433" i="3" s="1" a="1"/>
  <c r="I433" i="3" s="1"/>
  <c r="H434" i="3"/>
  <c r="I434" i="3" s="1" a="1"/>
  <c r="I434" i="3" s="1"/>
  <c r="H435" i="3"/>
  <c r="I435" i="3" s="1" a="1"/>
  <c r="I435" i="3" s="1"/>
  <c r="H436" i="3"/>
  <c r="I436" i="3" s="1" a="1"/>
  <c r="I436" i="3" s="1"/>
  <c r="H437" i="3"/>
  <c r="I437" i="3" s="1" a="1"/>
  <c r="I437" i="3" s="1"/>
  <c r="H438" i="3"/>
  <c r="I438" i="3" s="1" a="1"/>
  <c r="I438" i="3" s="1"/>
  <c r="H439" i="3"/>
  <c r="I439" i="3" s="1" a="1"/>
  <c r="I439" i="3" s="1"/>
  <c r="H440" i="3"/>
  <c r="I440" i="3" s="1" a="1"/>
  <c r="I440" i="3" s="1"/>
  <c r="H441" i="3"/>
  <c r="I441" i="3" s="1" a="1"/>
  <c r="I441" i="3" s="1"/>
  <c r="H442" i="3"/>
  <c r="I442" i="3" s="1" a="1"/>
  <c r="I442" i="3" s="1"/>
  <c r="H443" i="3"/>
  <c r="I443" i="3" s="1" a="1"/>
  <c r="I443" i="3" s="1"/>
  <c r="H444" i="3"/>
  <c r="I444" i="3" s="1" a="1"/>
  <c r="I444" i="3" s="1"/>
  <c r="H445" i="3"/>
  <c r="I445" i="3" s="1" a="1"/>
  <c r="I445" i="3" s="1"/>
  <c r="H446" i="3"/>
  <c r="I446" i="3" s="1" a="1"/>
  <c r="I446" i="3" s="1"/>
  <c r="H447" i="3"/>
  <c r="I447" i="3" s="1" a="1"/>
  <c r="I447" i="3" s="1"/>
  <c r="H448" i="3"/>
  <c r="I448" i="3" s="1" a="1"/>
  <c r="I448" i="3" s="1"/>
  <c r="H449" i="3"/>
  <c r="I449" i="3" s="1" a="1"/>
  <c r="I449" i="3" s="1"/>
  <c r="H450" i="3"/>
  <c r="I450" i="3" s="1" a="1"/>
  <c r="I450" i="3" s="1"/>
  <c r="H451" i="3"/>
  <c r="I451" i="3" s="1" a="1"/>
  <c r="I451" i="3" s="1"/>
  <c r="H452" i="3"/>
  <c r="I452" i="3" s="1" a="1"/>
  <c r="I452" i="3" s="1"/>
  <c r="H453" i="3"/>
  <c r="I453" i="3" s="1" a="1"/>
  <c r="I453" i="3" s="1"/>
  <c r="H454" i="3"/>
  <c r="I454" i="3" s="1" a="1"/>
  <c r="I454" i="3" s="1"/>
  <c r="H455" i="3"/>
  <c r="I455" i="3" s="1" a="1"/>
  <c r="I455" i="3" s="1"/>
  <c r="H456" i="3"/>
  <c r="I456" i="3" s="1" a="1"/>
  <c r="I456" i="3" s="1"/>
  <c r="H457" i="3"/>
  <c r="I457" i="3" s="1" a="1"/>
  <c r="I457" i="3" s="1"/>
  <c r="H458" i="3"/>
  <c r="I458" i="3" s="1" a="1"/>
  <c r="I458" i="3" s="1"/>
  <c r="H459" i="3"/>
  <c r="I459" i="3" s="1" a="1"/>
  <c r="I459" i="3" s="1"/>
  <c r="H460" i="3"/>
  <c r="I460" i="3" s="1" a="1"/>
  <c r="I460" i="3" s="1"/>
  <c r="H461" i="3"/>
  <c r="I461" i="3" s="1" a="1"/>
  <c r="I461" i="3" s="1"/>
  <c r="H462" i="3"/>
  <c r="I462" i="3" s="1" a="1"/>
  <c r="I462" i="3" s="1"/>
  <c r="H463" i="3"/>
  <c r="I463" i="3" s="1" a="1"/>
  <c r="I463" i="3" s="1"/>
  <c r="H464" i="3"/>
  <c r="I464" i="3" s="1" a="1"/>
  <c r="I464" i="3" s="1"/>
  <c r="H465" i="3"/>
  <c r="I465" i="3" s="1" a="1"/>
  <c r="I465" i="3" s="1"/>
  <c r="H466" i="3"/>
  <c r="I466" i="3" s="1" a="1"/>
  <c r="I466" i="3" s="1"/>
  <c r="H467" i="3"/>
  <c r="I467" i="3" s="1" a="1"/>
  <c r="I467" i="3" s="1"/>
  <c r="H468" i="3"/>
  <c r="I468" i="3" s="1" a="1"/>
  <c r="I468" i="3" s="1"/>
  <c r="H469" i="3"/>
  <c r="I469" i="3" s="1" a="1"/>
  <c r="I469" i="3" s="1"/>
  <c r="H470" i="3"/>
  <c r="I470" i="3" s="1" a="1"/>
  <c r="I470" i="3" s="1"/>
  <c r="H471" i="3"/>
  <c r="I471" i="3" s="1" a="1"/>
  <c r="I471" i="3" s="1"/>
  <c r="H472" i="3"/>
  <c r="I472" i="3" s="1" a="1"/>
  <c r="I472" i="3" s="1"/>
  <c r="H473" i="3"/>
  <c r="I473" i="3" s="1" a="1"/>
  <c r="I473" i="3" s="1"/>
  <c r="H474" i="3"/>
  <c r="I474" i="3" s="1" a="1"/>
  <c r="I474" i="3" s="1"/>
  <c r="H475" i="3"/>
  <c r="I475" i="3" s="1" a="1"/>
  <c r="I475" i="3" s="1"/>
  <c r="H476" i="3"/>
  <c r="I476" i="3" s="1" a="1"/>
  <c r="I476" i="3" s="1"/>
  <c r="H477" i="3"/>
  <c r="I477" i="3" s="1" a="1"/>
  <c r="I477" i="3" s="1"/>
  <c r="H478" i="3"/>
  <c r="I478" i="3" s="1" a="1"/>
  <c r="I478" i="3" s="1"/>
  <c r="H479" i="3"/>
  <c r="I479" i="3" s="1" a="1"/>
  <c r="I479" i="3" s="1"/>
  <c r="H480" i="3"/>
  <c r="I480" i="3" s="1" a="1"/>
  <c r="I480" i="3" s="1"/>
  <c r="H481" i="3"/>
  <c r="I481" i="3" s="1" a="1"/>
  <c r="I481" i="3" s="1"/>
  <c r="H482" i="3"/>
  <c r="I482" i="3" s="1" a="1"/>
  <c r="I482" i="3" s="1"/>
  <c r="H483" i="3"/>
  <c r="I483" i="3" s="1" a="1"/>
  <c r="I483" i="3" s="1"/>
  <c r="H484" i="3"/>
  <c r="I484" i="3" s="1" a="1"/>
  <c r="I484" i="3" s="1"/>
  <c r="H485" i="3"/>
  <c r="I485" i="3" s="1" a="1"/>
  <c r="I485" i="3" s="1"/>
  <c r="H486" i="3"/>
  <c r="I486" i="3" s="1" a="1"/>
  <c r="I486" i="3" s="1"/>
  <c r="H487" i="3"/>
  <c r="I487" i="3" s="1" a="1"/>
  <c r="I487" i="3" s="1"/>
  <c r="H488" i="3"/>
  <c r="I488" i="3" s="1" a="1"/>
  <c r="I488" i="3" s="1"/>
  <c r="H489" i="3"/>
  <c r="I489" i="3" s="1" a="1"/>
  <c r="I489" i="3" s="1"/>
  <c r="H490" i="3"/>
  <c r="I490" i="3" s="1" a="1"/>
  <c r="I490" i="3" s="1"/>
  <c r="H491" i="3"/>
  <c r="I491" i="3" s="1" a="1"/>
  <c r="I491" i="3" s="1"/>
  <c r="H492" i="3"/>
  <c r="I492" i="3" s="1" a="1"/>
  <c r="I492" i="3" s="1"/>
  <c r="H493" i="3"/>
  <c r="I493" i="3" s="1" a="1"/>
  <c r="I493" i="3" s="1"/>
  <c r="H494" i="3"/>
  <c r="I494" i="3" s="1" a="1"/>
  <c r="I494" i="3" s="1"/>
  <c r="H495" i="3"/>
  <c r="I495" i="3" s="1" a="1"/>
  <c r="I495" i="3" s="1"/>
  <c r="H496" i="3"/>
  <c r="I496" i="3" s="1" a="1"/>
  <c r="I496" i="3" s="1"/>
  <c r="H497" i="3"/>
  <c r="I497" i="3" s="1" a="1"/>
  <c r="I497" i="3" s="1"/>
  <c r="H498" i="3"/>
  <c r="I498" i="3" s="1" a="1"/>
  <c r="I498" i="3" s="1"/>
  <c r="H499" i="3"/>
  <c r="I499" i="3" s="1" a="1"/>
  <c r="I499" i="3" s="1"/>
  <c r="H500" i="3"/>
  <c r="I500" i="3" s="1" a="1"/>
  <c r="I500" i="3" s="1"/>
  <c r="H501" i="3"/>
  <c r="I501" i="3" s="1" a="1"/>
  <c r="I501" i="3" s="1"/>
  <c r="H502" i="3"/>
  <c r="I502" i="3" s="1" a="1"/>
  <c r="I502" i="3" s="1"/>
  <c r="H503" i="3"/>
  <c r="I503" i="3" s="1" a="1"/>
  <c r="I503" i="3" s="1"/>
  <c r="H504" i="3"/>
  <c r="I504" i="3" s="1" a="1"/>
  <c r="I504" i="3" s="1"/>
  <c r="H505" i="3"/>
  <c r="I505" i="3" s="1" a="1"/>
  <c r="I505" i="3" s="1"/>
  <c r="H506" i="3"/>
  <c r="I506" i="3" s="1" a="1"/>
  <c r="I506" i="3" s="1"/>
  <c r="H507" i="3"/>
  <c r="I507" i="3" s="1" a="1"/>
  <c r="I507" i="3" s="1"/>
  <c r="H508" i="3"/>
  <c r="I508" i="3" s="1" a="1"/>
  <c r="I508" i="3" s="1"/>
  <c r="H509" i="3"/>
  <c r="I509" i="3" s="1" a="1"/>
  <c r="I509" i="3" s="1"/>
  <c r="H510" i="3"/>
  <c r="I510" i="3" s="1" a="1"/>
  <c r="I510" i="3" s="1"/>
  <c r="H511" i="3"/>
  <c r="I511" i="3" s="1" a="1"/>
  <c r="I511" i="3" s="1"/>
  <c r="H512" i="3"/>
  <c r="I512" i="3" s="1" a="1"/>
  <c r="I512" i="3" s="1"/>
  <c r="H513" i="3"/>
  <c r="I513" i="3" s="1" a="1"/>
  <c r="I513" i="3" s="1"/>
  <c r="H514" i="3"/>
  <c r="I514" i="3" s="1" a="1"/>
  <c r="I514" i="3" s="1"/>
  <c r="H515" i="3"/>
  <c r="I515" i="3" s="1" a="1"/>
  <c r="I515" i="3" s="1"/>
  <c r="H516" i="3"/>
  <c r="I516" i="3" s="1" a="1"/>
  <c r="I516" i="3" s="1"/>
  <c r="H517" i="3"/>
  <c r="I517" i="3" s="1" a="1"/>
  <c r="I517" i="3" s="1"/>
  <c r="H518" i="3"/>
  <c r="I518" i="3" s="1" a="1"/>
  <c r="I518" i="3" s="1"/>
  <c r="H519" i="3"/>
  <c r="I519" i="3" s="1" a="1"/>
  <c r="I519" i="3" s="1"/>
  <c r="H520" i="3"/>
  <c r="I520" i="3" s="1" a="1"/>
  <c r="I520" i="3" s="1"/>
  <c r="H521" i="3"/>
  <c r="I521" i="3" s="1" a="1"/>
  <c r="I521" i="3" s="1"/>
  <c r="H522" i="3"/>
  <c r="I522" i="3" s="1" a="1"/>
  <c r="I522" i="3" s="1"/>
  <c r="H523" i="3"/>
  <c r="I523" i="3" s="1" a="1"/>
  <c r="I523" i="3" s="1"/>
  <c r="H524" i="3"/>
  <c r="I524" i="3" s="1" a="1"/>
  <c r="I524" i="3" s="1"/>
  <c r="H525" i="3"/>
  <c r="I525" i="3" s="1" a="1"/>
  <c r="I525" i="3" s="1"/>
  <c r="H526" i="3"/>
  <c r="I526" i="3" s="1" a="1"/>
  <c r="I526" i="3" s="1"/>
  <c r="H527" i="3"/>
  <c r="I527" i="3" s="1" a="1"/>
  <c r="I527" i="3" s="1"/>
  <c r="H528" i="3"/>
  <c r="I528" i="3" s="1" a="1"/>
  <c r="I528" i="3" s="1"/>
  <c r="H529" i="3"/>
  <c r="I529" i="3" s="1" a="1"/>
  <c r="I529" i="3" s="1"/>
  <c r="H530" i="3"/>
  <c r="I530" i="3" s="1" a="1"/>
  <c r="I530" i="3" s="1"/>
  <c r="H531" i="3"/>
  <c r="I531" i="3" s="1" a="1"/>
  <c r="I531" i="3" s="1"/>
  <c r="H532" i="3"/>
  <c r="I532" i="3" s="1" a="1"/>
  <c r="I532" i="3" s="1"/>
  <c r="H533" i="3"/>
  <c r="I533" i="3" s="1" a="1"/>
  <c r="I533" i="3" s="1"/>
  <c r="H534" i="3"/>
  <c r="I534" i="3" s="1" a="1"/>
  <c r="I534" i="3" s="1"/>
  <c r="H535" i="3"/>
  <c r="I535" i="3" s="1" a="1"/>
  <c r="I535" i="3" s="1"/>
  <c r="H536" i="3"/>
  <c r="I536" i="3" s="1" a="1"/>
  <c r="I536" i="3" s="1"/>
  <c r="H537" i="3"/>
  <c r="I537" i="3" s="1" a="1"/>
  <c r="I537" i="3" s="1"/>
  <c r="H538" i="3"/>
  <c r="I538" i="3" s="1" a="1"/>
  <c r="I538" i="3" s="1"/>
  <c r="H539" i="3"/>
  <c r="I539" i="3" s="1" a="1"/>
  <c r="I539" i="3" s="1"/>
  <c r="H540" i="3"/>
  <c r="I540" i="3" s="1" a="1"/>
  <c r="I540" i="3" s="1"/>
  <c r="H541" i="3"/>
  <c r="I541" i="3" s="1" a="1"/>
  <c r="I541" i="3" s="1"/>
  <c r="H542" i="3"/>
  <c r="I542" i="3" s="1" a="1"/>
  <c r="I542" i="3" s="1"/>
  <c r="H543" i="3"/>
  <c r="I543" i="3" s="1" a="1"/>
  <c r="I543" i="3" s="1"/>
  <c r="H544" i="3"/>
  <c r="I544" i="3" s="1" a="1"/>
  <c r="I544" i="3" s="1"/>
  <c r="H545" i="3"/>
  <c r="I545" i="3" s="1" a="1"/>
  <c r="I545" i="3" s="1"/>
  <c r="H546" i="3"/>
  <c r="I546" i="3" s="1" a="1"/>
  <c r="I546" i="3" s="1"/>
  <c r="H547" i="3"/>
  <c r="I547" i="3" s="1" a="1"/>
  <c r="I547" i="3" s="1"/>
  <c r="H548" i="3"/>
  <c r="I548" i="3" s="1" a="1"/>
  <c r="I548" i="3" s="1"/>
  <c r="H549" i="3"/>
  <c r="I549" i="3" s="1" a="1"/>
  <c r="I549" i="3" s="1"/>
  <c r="H550" i="3"/>
  <c r="I550" i="3" s="1" a="1"/>
  <c r="I550" i="3" s="1"/>
  <c r="H551" i="3"/>
  <c r="I551" i="3" s="1" a="1"/>
  <c r="I551" i="3" s="1"/>
  <c r="H552" i="3"/>
  <c r="I552" i="3" s="1" a="1"/>
  <c r="I552" i="3" s="1"/>
  <c r="H553" i="3"/>
  <c r="I553" i="3" s="1" a="1"/>
  <c r="I553" i="3" s="1"/>
  <c r="H554" i="3"/>
  <c r="I554" i="3" s="1" a="1"/>
  <c r="I554" i="3" s="1"/>
  <c r="H555" i="3"/>
  <c r="I555" i="3" s="1" a="1"/>
  <c r="I555" i="3" s="1"/>
  <c r="H556" i="3"/>
  <c r="I556" i="3" s="1" a="1"/>
  <c r="I556" i="3" s="1"/>
  <c r="H557" i="3"/>
  <c r="I557" i="3" s="1" a="1"/>
  <c r="I557" i="3" s="1"/>
  <c r="H558" i="3"/>
  <c r="I558" i="3" s="1" a="1"/>
  <c r="I558" i="3" s="1"/>
  <c r="H559" i="3"/>
  <c r="I559" i="3" s="1" a="1"/>
  <c r="I559" i="3" s="1"/>
  <c r="H560" i="3"/>
  <c r="I560" i="3" s="1" a="1"/>
  <c r="I560" i="3" s="1"/>
  <c r="H561" i="3"/>
  <c r="I561" i="3" s="1" a="1"/>
  <c r="I561" i="3" s="1"/>
  <c r="H562" i="3"/>
  <c r="I562" i="3" s="1" a="1"/>
  <c r="I562" i="3" s="1"/>
  <c r="H563" i="3"/>
  <c r="I563" i="3" s="1" a="1"/>
  <c r="I563" i="3" s="1"/>
  <c r="H564" i="3"/>
  <c r="I564" i="3" s="1" a="1"/>
  <c r="I564" i="3" s="1"/>
  <c r="H565" i="3"/>
  <c r="I565" i="3" s="1" a="1"/>
  <c r="I565" i="3" s="1"/>
  <c r="H566" i="3"/>
  <c r="I566" i="3" s="1" a="1"/>
  <c r="I566" i="3" s="1"/>
  <c r="H567" i="3"/>
  <c r="I567" i="3" s="1" a="1"/>
  <c r="I567" i="3" s="1"/>
  <c r="H568" i="3"/>
  <c r="I568" i="3" s="1" a="1"/>
  <c r="I568" i="3" s="1"/>
  <c r="H569" i="3"/>
  <c r="I569" i="3" s="1" a="1"/>
  <c r="I569" i="3" s="1"/>
  <c r="H570" i="3"/>
  <c r="I570" i="3" s="1" a="1"/>
  <c r="I570" i="3" s="1"/>
  <c r="H571" i="3"/>
  <c r="I571" i="3" s="1" a="1"/>
  <c r="I571" i="3" s="1"/>
  <c r="H572" i="3"/>
  <c r="I572" i="3" s="1" a="1"/>
  <c r="I572" i="3" s="1"/>
  <c r="H573" i="3"/>
  <c r="I573" i="3" s="1" a="1"/>
  <c r="I573" i="3" s="1"/>
  <c r="H574" i="3"/>
  <c r="I574" i="3" s="1" a="1"/>
  <c r="I574" i="3" s="1"/>
  <c r="H575" i="3"/>
  <c r="I575" i="3" s="1" a="1"/>
  <c r="I575" i="3" s="1"/>
  <c r="H576" i="3"/>
  <c r="I576" i="3" s="1" a="1"/>
  <c r="I576" i="3" s="1"/>
  <c r="H577" i="3"/>
  <c r="I577" i="3" s="1" a="1"/>
  <c r="I577" i="3" s="1"/>
  <c r="H578" i="3"/>
  <c r="I578" i="3" s="1" a="1"/>
  <c r="I578" i="3" s="1"/>
  <c r="H579" i="3"/>
  <c r="I579" i="3" s="1" a="1"/>
  <c r="I579" i="3" s="1"/>
  <c r="H580" i="3"/>
  <c r="I580" i="3" s="1" a="1"/>
  <c r="I580" i="3" s="1"/>
  <c r="H581" i="3"/>
  <c r="I581" i="3" s="1" a="1"/>
  <c r="I581" i="3" s="1"/>
  <c r="H582" i="3"/>
  <c r="I582" i="3" s="1" a="1"/>
  <c r="I582" i="3" s="1"/>
  <c r="H583" i="3"/>
  <c r="I583" i="3" s="1" a="1"/>
  <c r="I583" i="3" s="1"/>
  <c r="H584" i="3"/>
  <c r="I584" i="3" s="1" a="1"/>
  <c r="I584" i="3" s="1"/>
  <c r="H585" i="3"/>
  <c r="I585" i="3" s="1" a="1"/>
  <c r="I585" i="3" s="1"/>
  <c r="H586" i="3"/>
  <c r="I586" i="3" s="1" a="1"/>
  <c r="I586" i="3" s="1"/>
  <c r="H587" i="3"/>
  <c r="I587" i="3" s="1" a="1"/>
  <c r="I587" i="3" s="1"/>
  <c r="H588" i="3"/>
  <c r="I588" i="3" s="1" a="1"/>
  <c r="I588" i="3" s="1"/>
  <c r="H589" i="3"/>
  <c r="I589" i="3" s="1" a="1"/>
  <c r="I589" i="3" s="1"/>
  <c r="H590" i="3"/>
  <c r="I590" i="3" s="1" a="1"/>
  <c r="I590" i="3" s="1"/>
  <c r="H591" i="3"/>
  <c r="I591" i="3" s="1" a="1"/>
  <c r="I591" i="3" s="1"/>
  <c r="H592" i="3"/>
  <c r="I592" i="3" s="1" a="1"/>
  <c r="I592" i="3" s="1"/>
  <c r="H593" i="3"/>
  <c r="I593" i="3" s="1" a="1"/>
  <c r="I593" i="3" s="1"/>
  <c r="H594" i="3"/>
  <c r="I594" i="3" s="1" a="1"/>
  <c r="I594" i="3" s="1"/>
  <c r="H595" i="3"/>
  <c r="I595" i="3" s="1" a="1"/>
  <c r="I595" i="3" s="1"/>
  <c r="H596" i="3"/>
  <c r="I596" i="3" s="1" a="1"/>
  <c r="I596" i="3" s="1"/>
  <c r="H597" i="3"/>
  <c r="I597" i="3" s="1" a="1"/>
  <c r="I597" i="3" s="1"/>
  <c r="H598" i="3"/>
  <c r="I598" i="3" s="1" a="1"/>
  <c r="I598" i="3" s="1"/>
  <c r="H599" i="3"/>
  <c r="I599" i="3" s="1" a="1"/>
  <c r="I599" i="3" s="1"/>
  <c r="H600" i="3"/>
  <c r="I600" i="3" s="1" a="1"/>
  <c r="I600" i="3" s="1"/>
  <c r="H601" i="3"/>
  <c r="I601" i="3" s="1" a="1"/>
  <c r="I601" i="3" s="1"/>
  <c r="H602" i="3"/>
  <c r="I602" i="3" s="1" a="1"/>
  <c r="I602" i="3" s="1"/>
  <c r="H603" i="3"/>
  <c r="I603" i="3" s="1" a="1"/>
  <c r="I603" i="3" s="1"/>
  <c r="H604" i="3"/>
  <c r="I604" i="3" s="1" a="1"/>
  <c r="I604" i="3" s="1"/>
  <c r="H605" i="3"/>
  <c r="I605" i="3" s="1" a="1"/>
  <c r="I605" i="3" s="1"/>
  <c r="H606" i="3"/>
  <c r="I606" i="3" s="1" a="1"/>
  <c r="I606" i="3" s="1"/>
  <c r="H607" i="3"/>
  <c r="I607" i="3" s="1" a="1"/>
  <c r="I607" i="3" s="1"/>
  <c r="H608" i="3"/>
  <c r="I608" i="3" s="1" a="1"/>
  <c r="I608" i="3" s="1"/>
  <c r="H609" i="3"/>
  <c r="I609" i="3" s="1" a="1"/>
  <c r="I609" i="3" s="1"/>
  <c r="H610" i="3"/>
  <c r="I610" i="3" s="1" a="1"/>
  <c r="I610" i="3" s="1"/>
  <c r="H611" i="3"/>
  <c r="I611" i="3" s="1" a="1"/>
  <c r="I611" i="3" s="1"/>
  <c r="H612" i="3"/>
  <c r="I612" i="3" s="1" a="1"/>
  <c r="I612" i="3" s="1"/>
  <c r="H613" i="3"/>
  <c r="I613" i="3" s="1" a="1"/>
  <c r="I613" i="3" s="1"/>
  <c r="H614" i="3"/>
  <c r="I614" i="3" s="1" a="1"/>
  <c r="I614" i="3" s="1"/>
  <c r="H615" i="3"/>
  <c r="I615" i="3" s="1" a="1"/>
  <c r="I615" i="3" s="1"/>
  <c r="H616" i="3"/>
  <c r="I616" i="3" s="1" a="1"/>
  <c r="I616" i="3" s="1"/>
  <c r="H617" i="3"/>
  <c r="I617" i="3" s="1" a="1"/>
  <c r="I617" i="3" s="1"/>
  <c r="H618" i="3"/>
  <c r="I618" i="3" s="1" a="1"/>
  <c r="I618" i="3" s="1"/>
  <c r="H619" i="3"/>
  <c r="I619" i="3" s="1" a="1"/>
  <c r="I619" i="3" s="1"/>
  <c r="H620" i="3"/>
  <c r="I620" i="3" s="1" a="1"/>
  <c r="I620" i="3" s="1"/>
  <c r="H621" i="3"/>
  <c r="I621" i="3" s="1" a="1"/>
  <c r="I621" i="3" s="1"/>
  <c r="H622" i="3"/>
  <c r="I622" i="3" s="1" a="1"/>
  <c r="I622" i="3" s="1"/>
  <c r="H623" i="3"/>
  <c r="I623" i="3" s="1" a="1"/>
  <c r="I623" i="3" s="1"/>
  <c r="H624" i="3"/>
  <c r="I624" i="3" s="1" a="1"/>
  <c r="I624" i="3" s="1"/>
  <c r="H625" i="3"/>
  <c r="I625" i="3" s="1" a="1"/>
  <c r="I625" i="3" s="1"/>
  <c r="H626" i="3"/>
  <c r="I626" i="3" s="1" a="1"/>
  <c r="I626" i="3" s="1"/>
  <c r="H627" i="3"/>
  <c r="I627" i="3" s="1" a="1"/>
  <c r="I627" i="3" s="1"/>
  <c r="H628" i="3"/>
  <c r="I628" i="3" s="1" a="1"/>
  <c r="I628" i="3" s="1"/>
  <c r="H629" i="3"/>
  <c r="I629" i="3" s="1" a="1"/>
  <c r="I629" i="3" s="1"/>
  <c r="H630" i="3"/>
  <c r="I630" i="3" s="1" a="1"/>
  <c r="I630" i="3" s="1"/>
  <c r="H631" i="3"/>
  <c r="I631" i="3" s="1" a="1"/>
  <c r="I631" i="3" s="1"/>
  <c r="H632" i="3"/>
  <c r="I632" i="3" s="1" a="1"/>
  <c r="I632" i="3" s="1"/>
  <c r="H633" i="3"/>
  <c r="I633" i="3" s="1" a="1"/>
  <c r="I633" i="3" s="1"/>
  <c r="H634" i="3"/>
  <c r="I634" i="3" s="1" a="1"/>
  <c r="I634" i="3" s="1"/>
  <c r="H635" i="3"/>
  <c r="I635" i="3" s="1" a="1"/>
  <c r="I635" i="3" s="1"/>
  <c r="H636" i="3"/>
  <c r="I636" i="3" s="1" a="1"/>
  <c r="I636" i="3" s="1"/>
  <c r="H637" i="3"/>
  <c r="I637" i="3" s="1" a="1"/>
  <c r="I637" i="3" s="1"/>
  <c r="H638" i="3"/>
  <c r="I638" i="3" s="1" a="1"/>
  <c r="I638" i="3" s="1"/>
  <c r="H639" i="3"/>
  <c r="I639" i="3" s="1" a="1"/>
  <c r="I639" i="3" s="1"/>
  <c r="H640" i="3"/>
  <c r="I640" i="3" s="1" a="1"/>
  <c r="I640" i="3" s="1"/>
  <c r="H641" i="3"/>
  <c r="I641" i="3" s="1" a="1"/>
  <c r="I641" i="3" s="1"/>
  <c r="H642" i="3"/>
  <c r="I642" i="3" s="1" a="1"/>
  <c r="I642" i="3" s="1"/>
  <c r="H643" i="3"/>
  <c r="I643" i="3" s="1" a="1"/>
  <c r="I643" i="3" s="1"/>
  <c r="H644" i="3"/>
  <c r="I644" i="3" s="1" a="1"/>
  <c r="I644" i="3" s="1"/>
  <c r="H645" i="3"/>
  <c r="I645" i="3" s="1" a="1"/>
  <c r="I645" i="3" s="1"/>
  <c r="H646" i="3"/>
  <c r="I646" i="3" s="1" a="1"/>
  <c r="I646" i="3" s="1"/>
  <c r="H647" i="3"/>
  <c r="I647" i="3" s="1" a="1"/>
  <c r="I647" i="3" s="1"/>
  <c r="H648" i="3"/>
  <c r="I648" i="3" s="1" a="1"/>
  <c r="I648" i="3" s="1"/>
  <c r="H649" i="3"/>
  <c r="I649" i="3" s="1" a="1"/>
  <c r="I649" i="3" s="1"/>
  <c r="H650" i="3"/>
  <c r="I650" i="3" s="1" a="1"/>
  <c r="I650" i="3" s="1"/>
  <c r="H651" i="3"/>
  <c r="I651" i="3" s="1" a="1"/>
  <c r="I651" i="3" s="1"/>
  <c r="H652" i="3"/>
  <c r="I652" i="3" s="1" a="1"/>
  <c r="I652" i="3" s="1"/>
  <c r="H653" i="3"/>
  <c r="I653" i="3" s="1" a="1"/>
  <c r="I653" i="3" s="1"/>
  <c r="H654" i="3"/>
  <c r="I654" i="3" s="1" a="1"/>
  <c r="I654" i="3" s="1"/>
  <c r="H655" i="3"/>
  <c r="I655" i="3" s="1" a="1"/>
  <c r="I655" i="3" s="1"/>
  <c r="H656" i="3"/>
  <c r="I656" i="3" s="1" a="1"/>
  <c r="I656" i="3" s="1"/>
  <c r="H657" i="3"/>
  <c r="I657" i="3" s="1" a="1"/>
  <c r="I657" i="3" s="1"/>
  <c r="H658" i="3"/>
  <c r="I658" i="3" s="1" a="1"/>
  <c r="I658" i="3" s="1"/>
  <c r="H659" i="3"/>
  <c r="I659" i="3" s="1" a="1"/>
  <c r="I659" i="3" s="1"/>
  <c r="H660" i="3"/>
  <c r="I660" i="3" s="1" a="1"/>
  <c r="I660" i="3" s="1"/>
  <c r="H661" i="3"/>
  <c r="I661" i="3" s="1" a="1"/>
  <c r="I661" i="3" s="1"/>
  <c r="H662" i="3"/>
  <c r="I662" i="3" s="1" a="1"/>
  <c r="I662" i="3" s="1"/>
  <c r="H663" i="3"/>
  <c r="I663" i="3" s="1" a="1"/>
  <c r="I663" i="3" s="1"/>
  <c r="H664" i="3"/>
  <c r="I664" i="3" s="1" a="1"/>
  <c r="I664" i="3" s="1"/>
  <c r="H665" i="3"/>
  <c r="I665" i="3" s="1" a="1"/>
  <c r="I665" i="3" s="1"/>
  <c r="H666" i="3"/>
  <c r="I666" i="3" s="1" a="1"/>
  <c r="I666" i="3" s="1"/>
  <c r="H667" i="3"/>
  <c r="I667" i="3" s="1" a="1"/>
  <c r="I667" i="3" s="1"/>
  <c r="H668" i="3"/>
  <c r="I668" i="3" s="1" a="1"/>
  <c r="I668" i="3" s="1"/>
  <c r="H669" i="3"/>
  <c r="I669" i="3" s="1" a="1"/>
  <c r="I669" i="3" s="1"/>
  <c r="H670" i="3"/>
  <c r="I670" i="3" s="1" a="1"/>
  <c r="I670" i="3" s="1"/>
  <c r="H671" i="3"/>
  <c r="I671" i="3" s="1" a="1"/>
  <c r="I671" i="3" s="1"/>
  <c r="H672" i="3"/>
  <c r="I672" i="3" s="1" a="1"/>
  <c r="I672" i="3" s="1"/>
  <c r="H673" i="3"/>
  <c r="I673" i="3" s="1" a="1"/>
  <c r="I673" i="3" s="1"/>
  <c r="H674" i="3"/>
  <c r="I674" i="3" s="1" a="1"/>
  <c r="I674" i="3" s="1"/>
  <c r="H675" i="3"/>
  <c r="I675" i="3" s="1" a="1"/>
  <c r="I675" i="3" s="1"/>
  <c r="H676" i="3"/>
  <c r="I676" i="3" s="1" a="1"/>
  <c r="I676" i="3" s="1"/>
  <c r="F2" i="3"/>
  <c r="H2" i="3" s="1"/>
  <c r="I2" i="3" s="1" a="1"/>
  <c r="I2" i="3" s="1"/>
  <c r="G10" i="3"/>
  <c r="G42" i="3"/>
  <c r="G138" i="3"/>
  <c r="G202" i="3"/>
  <c r="G298" i="3"/>
  <c r="G349" i="3"/>
  <c r="G350" i="3"/>
  <c r="G365" i="3"/>
  <c r="G366" i="3"/>
  <c r="G381" i="3"/>
  <c r="G382" i="3"/>
  <c r="G397" i="3"/>
  <c r="G398" i="3"/>
  <c r="G413" i="3"/>
  <c r="G414" i="3"/>
  <c r="G429" i="3"/>
  <c r="G430" i="3"/>
  <c r="G445" i="3"/>
  <c r="G446" i="3"/>
  <c r="G461" i="3"/>
  <c r="G462" i="3"/>
  <c r="G477" i="3"/>
  <c r="G478" i="3"/>
  <c r="G493" i="3"/>
  <c r="G494" i="3"/>
  <c r="G509" i="3"/>
  <c r="G510" i="3"/>
  <c r="G525" i="3"/>
  <c r="G526" i="3"/>
  <c r="G541" i="3"/>
  <c r="G542" i="3"/>
  <c r="G557" i="3"/>
  <c r="G558" i="3"/>
  <c r="G573" i="3"/>
  <c r="G574" i="3"/>
  <c r="G589" i="3"/>
  <c r="G590" i="3"/>
  <c r="G605" i="3"/>
  <c r="G606" i="3"/>
  <c r="G621" i="3"/>
  <c r="G622" i="3"/>
  <c r="G637" i="3"/>
  <c r="G638" i="3"/>
  <c r="G3" i="3"/>
  <c r="G4" i="3"/>
  <c r="G6" i="3"/>
  <c r="G8" i="3"/>
  <c r="G12" i="3"/>
  <c r="G16" i="3"/>
  <c r="G20" i="3"/>
  <c r="G22" i="3"/>
  <c r="G24" i="3"/>
  <c r="G28" i="3"/>
  <c r="G32" i="3"/>
  <c r="G36" i="3"/>
  <c r="G38" i="3"/>
  <c r="G40" i="3"/>
  <c r="G44" i="3"/>
  <c r="G48" i="3"/>
  <c r="G52" i="3"/>
  <c r="G54" i="3"/>
  <c r="G56" i="3"/>
  <c r="G60" i="3"/>
  <c r="G64" i="3"/>
  <c r="G68" i="3"/>
  <c r="G70" i="3"/>
  <c r="G72" i="3"/>
  <c r="G76" i="3"/>
  <c r="G80" i="3"/>
  <c r="G84" i="3"/>
  <c r="G86" i="3"/>
  <c r="G88" i="3"/>
  <c r="G92" i="3"/>
  <c r="G96" i="3"/>
  <c r="G100" i="3"/>
  <c r="G102" i="3"/>
  <c r="G104" i="3"/>
  <c r="G108" i="3"/>
  <c r="G112" i="3"/>
  <c r="G116" i="3"/>
  <c r="G118" i="3"/>
  <c r="G120" i="3"/>
  <c r="G124" i="3"/>
  <c r="G128" i="3"/>
  <c r="G132" i="3"/>
  <c r="G134" i="3"/>
  <c r="G136" i="3"/>
  <c r="G140" i="3"/>
  <c r="G144" i="3"/>
  <c r="G148" i="3"/>
  <c r="G150" i="3"/>
  <c r="G152" i="3"/>
  <c r="G156" i="3"/>
  <c r="G160" i="3"/>
  <c r="G164" i="3"/>
  <c r="G166" i="3"/>
  <c r="G168" i="3"/>
  <c r="G172" i="3"/>
  <c r="G176" i="3"/>
  <c r="G180" i="3"/>
  <c r="G182" i="3"/>
  <c r="G184" i="3"/>
  <c r="G188" i="3"/>
  <c r="G192" i="3"/>
  <c r="G196" i="3"/>
  <c r="G198" i="3"/>
  <c r="G200" i="3"/>
  <c r="G204" i="3"/>
  <c r="G208" i="3"/>
  <c r="G212" i="3"/>
  <c r="G214" i="3"/>
  <c r="G216" i="3"/>
  <c r="G220" i="3"/>
  <c r="G224" i="3"/>
  <c r="G228" i="3"/>
  <c r="G230" i="3"/>
  <c r="G232" i="3"/>
  <c r="G236" i="3"/>
  <c r="G240" i="3"/>
  <c r="G244" i="3"/>
  <c r="G246" i="3"/>
  <c r="G248" i="3"/>
  <c r="G252" i="3"/>
  <c r="G256" i="3"/>
  <c r="G260" i="3"/>
  <c r="G262" i="3"/>
  <c r="G264" i="3"/>
  <c r="G268" i="3"/>
  <c r="G272" i="3"/>
  <c r="G276" i="3"/>
  <c r="G278" i="3"/>
  <c r="G280" i="3"/>
  <c r="G284" i="3"/>
  <c r="G288" i="3"/>
  <c r="G292" i="3"/>
  <c r="G294" i="3"/>
  <c r="G296" i="3"/>
  <c r="G300" i="3"/>
  <c r="G304" i="3"/>
  <c r="G308" i="3"/>
  <c r="G310" i="3"/>
  <c r="G312" i="3"/>
  <c r="G316" i="3"/>
  <c r="G320" i="3"/>
  <c r="G324" i="3"/>
  <c r="G326" i="3"/>
  <c r="G328" i="3"/>
  <c r="G332" i="3"/>
  <c r="G336" i="3"/>
  <c r="G340" i="3"/>
  <c r="G342" i="3"/>
  <c r="G344" i="3"/>
  <c r="G348" i="3"/>
  <c r="G352" i="3"/>
  <c r="G353" i="3"/>
  <c r="G356" i="3"/>
  <c r="G357" i="3"/>
  <c r="G358" i="3"/>
  <c r="G360" i="3"/>
  <c r="G364" i="3"/>
  <c r="G368" i="3"/>
  <c r="G369" i="3"/>
  <c r="G372" i="3"/>
  <c r="G373" i="3"/>
  <c r="G374" i="3"/>
  <c r="G376" i="3"/>
  <c r="G380" i="3"/>
  <c r="G384" i="3"/>
  <c r="G385" i="3"/>
  <c r="G388" i="3"/>
  <c r="G389" i="3"/>
  <c r="G390" i="3"/>
  <c r="G392" i="3"/>
  <c r="G396" i="3"/>
  <c r="G400" i="3"/>
  <c r="G401" i="3"/>
  <c r="G404" i="3"/>
  <c r="G405" i="3"/>
  <c r="G406" i="3"/>
  <c r="G408" i="3"/>
  <c r="G412" i="3"/>
  <c r="G416" i="3"/>
  <c r="G417" i="3"/>
  <c r="G420" i="3"/>
  <c r="G421" i="3"/>
  <c r="G422" i="3"/>
  <c r="G424" i="3"/>
  <c r="G428" i="3"/>
  <c r="G432" i="3"/>
  <c r="G433" i="3"/>
  <c r="G436" i="3"/>
  <c r="G437" i="3"/>
  <c r="G438" i="3"/>
  <c r="G440" i="3"/>
  <c r="G444" i="3"/>
  <c r="G448" i="3"/>
  <c r="G449" i="3"/>
  <c r="G452" i="3"/>
  <c r="G453" i="3"/>
  <c r="G454" i="3"/>
  <c r="G456" i="3"/>
  <c r="G460" i="3"/>
  <c r="G464" i="3"/>
  <c r="G465" i="3"/>
  <c r="G468" i="3"/>
  <c r="G469" i="3"/>
  <c r="G470" i="3"/>
  <c r="G472" i="3"/>
  <c r="G476" i="3"/>
  <c r="G480" i="3"/>
  <c r="G481" i="3"/>
  <c r="G484" i="3"/>
  <c r="G485" i="3"/>
  <c r="G486" i="3"/>
  <c r="G488" i="3"/>
  <c r="G492" i="3"/>
  <c r="G496" i="3"/>
  <c r="G497" i="3"/>
  <c r="G500" i="3"/>
  <c r="G501" i="3"/>
  <c r="G502" i="3"/>
  <c r="G504" i="3"/>
  <c r="G508" i="3"/>
  <c r="G512" i="3"/>
  <c r="G513" i="3"/>
  <c r="G516" i="3"/>
  <c r="G517" i="3"/>
  <c r="G518" i="3"/>
  <c r="G520" i="3"/>
  <c r="G524" i="3"/>
  <c r="G528" i="3"/>
  <c r="G529" i="3"/>
  <c r="G532" i="3"/>
  <c r="G533" i="3"/>
  <c r="G534" i="3"/>
  <c r="G536" i="3"/>
  <c r="G540" i="3"/>
  <c r="G544" i="3"/>
  <c r="G545" i="3"/>
  <c r="G548" i="3"/>
  <c r="G549" i="3"/>
  <c r="G550" i="3"/>
  <c r="G552" i="3"/>
  <c r="G556" i="3"/>
  <c r="G560" i="3"/>
  <c r="G561" i="3"/>
  <c r="G564" i="3"/>
  <c r="G565" i="3"/>
  <c r="G566" i="3"/>
  <c r="G568" i="3"/>
  <c r="G572" i="3"/>
  <c r="G576" i="3"/>
  <c r="G577" i="3"/>
  <c r="G580" i="3"/>
  <c r="G581" i="3"/>
  <c r="G582" i="3"/>
  <c r="G584" i="3"/>
  <c r="G588" i="3"/>
  <c r="G592" i="3"/>
  <c r="G593" i="3"/>
  <c r="G596" i="3"/>
  <c r="G597" i="3"/>
  <c r="G598" i="3"/>
  <c r="G600" i="3"/>
  <c r="G604" i="3"/>
  <c r="G608" i="3"/>
  <c r="G609" i="3"/>
  <c r="G612" i="3"/>
  <c r="G613" i="3"/>
  <c r="G614" i="3"/>
  <c r="G616" i="3"/>
  <c r="G620" i="3"/>
  <c r="G624" i="3"/>
  <c r="G625" i="3"/>
  <c r="G628" i="3"/>
  <c r="G629" i="3"/>
  <c r="G630" i="3"/>
  <c r="G632" i="3"/>
  <c r="G636" i="3"/>
  <c r="G640" i="3"/>
  <c r="G641" i="3"/>
  <c r="G644" i="3"/>
  <c r="G645" i="3"/>
  <c r="G646" i="3"/>
  <c r="G648" i="3"/>
  <c r="G649" i="3"/>
  <c r="G650" i="3"/>
  <c r="G652" i="3"/>
  <c r="G653" i="3"/>
  <c r="G654" i="3"/>
  <c r="G656" i="3"/>
  <c r="G657" i="3"/>
  <c r="G658" i="3"/>
  <c r="G660" i="3"/>
  <c r="G661" i="3"/>
  <c r="G662" i="3"/>
  <c r="G664" i="3"/>
  <c r="G665" i="3"/>
  <c r="G666" i="3"/>
  <c r="G668" i="3"/>
  <c r="G669" i="3"/>
  <c r="G670" i="3"/>
  <c r="G672" i="3"/>
  <c r="G673" i="3"/>
  <c r="G674" i="3"/>
  <c r="G676"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2" i="3"/>
  <c r="H3" i="3" l="1"/>
  <c r="I3" i="3" s="1" a="1"/>
  <c r="I3" i="3" s="1"/>
  <c r="G2" i="3"/>
  <c r="G643" i="3"/>
  <c r="G635" i="3"/>
  <c r="G627" i="3"/>
  <c r="G619" i="3"/>
  <c r="G611" i="3"/>
  <c r="G603" i="3"/>
  <c r="G595" i="3"/>
  <c r="G587" i="3"/>
  <c r="G579" i="3"/>
  <c r="G571" i="3"/>
  <c r="G563" i="3"/>
  <c r="G555" i="3"/>
  <c r="G547" i="3"/>
  <c r="G539" i="3"/>
  <c r="G531" i="3"/>
  <c r="G523" i="3"/>
  <c r="G515" i="3"/>
  <c r="G507" i="3"/>
  <c r="G499" i="3"/>
  <c r="G491" i="3"/>
  <c r="G483" i="3"/>
  <c r="G475" i="3"/>
  <c r="G467" i="3"/>
  <c r="G459" i="3"/>
  <c r="G451" i="3"/>
  <c r="G443" i="3"/>
  <c r="G435" i="3"/>
  <c r="G427" i="3"/>
  <c r="G419" i="3"/>
  <c r="G411" i="3"/>
  <c r="G403" i="3"/>
  <c r="G395" i="3"/>
  <c r="G387" i="3"/>
  <c r="G379" i="3"/>
  <c r="G371" i="3"/>
  <c r="G363" i="3"/>
  <c r="G355" i="3"/>
  <c r="G347" i="3"/>
  <c r="G338" i="3"/>
  <c r="G339" i="3"/>
  <c r="G334" i="3"/>
  <c r="G327" i="3"/>
  <c r="G322" i="3"/>
  <c r="G323" i="3"/>
  <c r="G318" i="3"/>
  <c r="G311" i="3"/>
  <c r="G274" i="3"/>
  <c r="G275" i="3"/>
  <c r="G270" i="3"/>
  <c r="G263" i="3"/>
  <c r="G258" i="3"/>
  <c r="G259" i="3"/>
  <c r="G254" i="3"/>
  <c r="G247" i="3"/>
  <c r="G238" i="3"/>
  <c r="G231" i="3"/>
  <c r="G226" i="3"/>
  <c r="G227" i="3"/>
  <c r="G222" i="3"/>
  <c r="G215" i="3"/>
  <c r="G178" i="3"/>
  <c r="G179" i="3"/>
  <c r="G174" i="3"/>
  <c r="G167" i="3"/>
  <c r="G162" i="3"/>
  <c r="G163" i="3"/>
  <c r="G158" i="3"/>
  <c r="G151" i="3"/>
  <c r="G114" i="3"/>
  <c r="G115" i="3"/>
  <c r="G110" i="3"/>
  <c r="G103" i="3"/>
  <c r="G98" i="3"/>
  <c r="G99" i="3"/>
  <c r="G94" i="3"/>
  <c r="G87" i="3"/>
  <c r="G82" i="3"/>
  <c r="G83" i="3"/>
  <c r="G78" i="3"/>
  <c r="G71" i="3"/>
  <c r="G66" i="3"/>
  <c r="G67" i="3"/>
  <c r="G62" i="3"/>
  <c r="G55" i="3"/>
  <c r="G18" i="3"/>
  <c r="G19" i="3"/>
  <c r="G7" i="3"/>
  <c r="G618" i="3"/>
  <c r="G586" i="3"/>
  <c r="G554" i="3"/>
  <c r="G522" i="3"/>
  <c r="G490" i="3"/>
  <c r="G458" i="3"/>
  <c r="G426" i="3"/>
  <c r="G394" i="3"/>
  <c r="G362" i="3"/>
  <c r="G331" i="3"/>
  <c r="G299" i="3"/>
  <c r="G267" i="3"/>
  <c r="G251" i="3"/>
  <c r="G219" i="3"/>
  <c r="G187" i="3"/>
  <c r="G155" i="3"/>
  <c r="G123" i="3"/>
  <c r="G91" i="3"/>
  <c r="G43" i="3"/>
  <c r="G11" i="3"/>
  <c r="G337" i="3"/>
  <c r="G325" i="3"/>
  <c r="G317" i="3"/>
  <c r="G309" i="3"/>
  <c r="G301" i="3"/>
  <c r="G293" i="3"/>
  <c r="G285" i="3"/>
  <c r="G277" i="3"/>
  <c r="G269" i="3"/>
  <c r="G261" i="3"/>
  <c r="G253" i="3"/>
  <c r="G245" i="3"/>
  <c r="G241" i="3"/>
  <c r="G633" i="3"/>
  <c r="G617" i="3"/>
  <c r="G601" i="3"/>
  <c r="G585" i="3"/>
  <c r="G569" i="3"/>
  <c r="G553" i="3"/>
  <c r="G537" i="3"/>
  <c r="G521" i="3"/>
  <c r="G505" i="3"/>
  <c r="G489" i="3"/>
  <c r="G473" i="3"/>
  <c r="G457" i="3"/>
  <c r="G441" i="3"/>
  <c r="G425" i="3"/>
  <c r="G409" i="3"/>
  <c r="G393" i="3"/>
  <c r="G377" i="3"/>
  <c r="G361" i="3"/>
  <c r="G345" i="3"/>
  <c r="G330" i="3"/>
  <c r="G314" i="3"/>
  <c r="G282" i="3"/>
  <c r="G266" i="3"/>
  <c r="G250" i="3"/>
  <c r="G234" i="3"/>
  <c r="G218" i="3"/>
  <c r="G186" i="3"/>
  <c r="G170" i="3"/>
  <c r="G154" i="3"/>
  <c r="G122" i="3"/>
  <c r="G106" i="3"/>
  <c r="G90" i="3"/>
  <c r="G74" i="3"/>
  <c r="G58" i="3"/>
  <c r="G26" i="3"/>
  <c r="G639" i="3"/>
  <c r="G631" i="3"/>
  <c r="G623" i="3"/>
  <c r="G615" i="3"/>
  <c r="G607" i="3"/>
  <c r="G599" i="3"/>
  <c r="G591" i="3"/>
  <c r="G583" i="3"/>
  <c r="G575" i="3"/>
  <c r="G567" i="3"/>
  <c r="G559" i="3"/>
  <c r="G551" i="3"/>
  <c r="G543" i="3"/>
  <c r="G535" i="3"/>
  <c r="G527" i="3"/>
  <c r="G519" i="3"/>
  <c r="G511" i="3"/>
  <c r="G503" i="3"/>
  <c r="G495" i="3"/>
  <c r="G487" i="3"/>
  <c r="G479" i="3"/>
  <c r="G471" i="3"/>
  <c r="G463" i="3"/>
  <c r="G455" i="3"/>
  <c r="G447" i="3"/>
  <c r="G439" i="3"/>
  <c r="G431" i="3"/>
  <c r="G423" i="3"/>
  <c r="G415" i="3"/>
  <c r="G407" i="3"/>
  <c r="G399" i="3"/>
  <c r="G391" i="3"/>
  <c r="G383" i="3"/>
  <c r="G375" i="3"/>
  <c r="G367" i="3"/>
  <c r="G359" i="3"/>
  <c r="G351" i="3"/>
  <c r="G343" i="3"/>
  <c r="G306" i="3"/>
  <c r="G307" i="3"/>
  <c r="G302" i="3"/>
  <c r="G295" i="3"/>
  <c r="G290" i="3"/>
  <c r="G291" i="3"/>
  <c r="G286" i="3"/>
  <c r="G279" i="3"/>
  <c r="G242" i="3"/>
  <c r="G243" i="3"/>
  <c r="G210" i="3"/>
  <c r="G211" i="3"/>
  <c r="G206" i="3"/>
  <c r="G199" i="3"/>
  <c r="G194" i="3"/>
  <c r="G195" i="3"/>
  <c r="G190" i="3"/>
  <c r="G183" i="3"/>
  <c r="G146" i="3"/>
  <c r="G147" i="3"/>
  <c r="G142" i="3"/>
  <c r="G135" i="3"/>
  <c r="G130" i="3"/>
  <c r="G131" i="3"/>
  <c r="G126" i="3"/>
  <c r="G119" i="3"/>
  <c r="G50" i="3"/>
  <c r="G51" i="3"/>
  <c r="G46" i="3"/>
  <c r="G39" i="3"/>
  <c r="G34" i="3"/>
  <c r="G35" i="3"/>
  <c r="G30" i="3"/>
  <c r="G23" i="3"/>
  <c r="G14" i="3"/>
  <c r="G634" i="3"/>
  <c r="G602" i="3"/>
  <c r="G570" i="3"/>
  <c r="G538" i="3"/>
  <c r="G506" i="3"/>
  <c r="G474" i="3"/>
  <c r="G442" i="3"/>
  <c r="G410" i="3"/>
  <c r="G378" i="3"/>
  <c r="G346" i="3"/>
  <c r="G315" i="3"/>
  <c r="G283" i="3"/>
  <c r="G235" i="3"/>
  <c r="G203" i="3"/>
  <c r="G171" i="3"/>
  <c r="G139" i="3"/>
  <c r="G107" i="3"/>
  <c r="G75" i="3"/>
  <c r="G59" i="3"/>
  <c r="G27" i="3"/>
  <c r="G341" i="3"/>
  <c r="G333" i="3"/>
  <c r="G329" i="3"/>
  <c r="G321" i="3"/>
  <c r="G313" i="3"/>
  <c r="G305" i="3"/>
  <c r="G297" i="3"/>
  <c r="G289" i="3"/>
  <c r="G281" i="3"/>
  <c r="G273" i="3"/>
  <c r="G265" i="3"/>
  <c r="G257" i="3"/>
  <c r="G249" i="3"/>
  <c r="G237" i="3"/>
  <c r="G675" i="3"/>
  <c r="G671" i="3"/>
  <c r="G667" i="3"/>
  <c r="G663" i="3"/>
  <c r="G659" i="3"/>
  <c r="G655" i="3"/>
  <c r="G651" i="3"/>
  <c r="G647" i="3"/>
  <c r="G642" i="3"/>
  <c r="G626" i="3"/>
  <c r="G610" i="3"/>
  <c r="G594" i="3"/>
  <c r="G578" i="3"/>
  <c r="G562" i="3"/>
  <c r="G546" i="3"/>
  <c r="G530" i="3"/>
  <c r="G514" i="3"/>
  <c r="G498" i="3"/>
  <c r="G482" i="3"/>
  <c r="G466" i="3"/>
  <c r="G450" i="3"/>
  <c r="G434" i="3"/>
  <c r="G418" i="3"/>
  <c r="G402" i="3"/>
  <c r="G386" i="3"/>
  <c r="G370" i="3"/>
  <c r="G354" i="3"/>
  <c r="G335" i="3"/>
  <c r="G319" i="3"/>
  <c r="G303" i="3"/>
  <c r="G287" i="3"/>
  <c r="G271" i="3"/>
  <c r="G255" i="3"/>
  <c r="G239" i="3"/>
  <c r="G223" i="3"/>
  <c r="G207" i="3"/>
  <c r="G191" i="3"/>
  <c r="G175" i="3"/>
  <c r="G159" i="3"/>
  <c r="G143" i="3"/>
  <c r="G127" i="3"/>
  <c r="G111" i="3"/>
  <c r="G95" i="3"/>
  <c r="G79" i="3"/>
  <c r="G63" i="3"/>
  <c r="G47" i="3"/>
  <c r="G31" i="3"/>
  <c r="G15" i="3"/>
  <c r="G233" i="3"/>
  <c r="G229" i="3"/>
  <c r="G225" i="3"/>
  <c r="G221" i="3"/>
  <c r="G217" i="3"/>
  <c r="G213" i="3"/>
  <c r="G209" i="3"/>
  <c r="G205" i="3"/>
  <c r="G201" i="3"/>
  <c r="G197" i="3"/>
  <c r="G193" i="3"/>
  <c r="G189" i="3"/>
  <c r="G185" i="3"/>
  <c r="G181" i="3"/>
  <c r="G177" i="3"/>
  <c r="G173" i="3"/>
  <c r="G169" i="3"/>
  <c r="G165" i="3"/>
  <c r="G161" i="3"/>
  <c r="G157" i="3"/>
  <c r="G153" i="3"/>
  <c r="G149" i="3"/>
  <c r="G145" i="3"/>
  <c r="G141" i="3"/>
  <c r="G137" i="3"/>
  <c r="G133" i="3"/>
  <c r="G129" i="3"/>
  <c r="G125" i="3"/>
  <c r="G121" i="3"/>
  <c r="G117" i="3"/>
  <c r="G113" i="3"/>
  <c r="G109" i="3"/>
  <c r="G105" i="3"/>
  <c r="G101" i="3"/>
  <c r="G97" i="3"/>
  <c r="G93" i="3"/>
  <c r="G89" i="3"/>
  <c r="G85" i="3"/>
  <c r="G81" i="3"/>
  <c r="G77" i="3"/>
  <c r="G73" i="3"/>
  <c r="G69" i="3"/>
  <c r="G65" i="3"/>
  <c r="G61" i="3"/>
  <c r="G57" i="3"/>
  <c r="G53" i="3"/>
  <c r="G49" i="3"/>
  <c r="G45" i="3"/>
  <c r="G41" i="3"/>
  <c r="G37" i="3"/>
  <c r="G33" i="3"/>
  <c r="G29" i="3"/>
  <c r="G25" i="3"/>
  <c r="G21" i="3"/>
  <c r="G17" i="3"/>
  <c r="G13" i="3"/>
  <c r="G9" i="3"/>
  <c r="G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327BC2-50ED-40FD-A284-6159BDF7726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A5F0237-5F8A-41D4-90C1-ECE411E08CC0}" name="WorksheetConnection_Fuel_Prices_Analysis.xlsx!Fuel_prices" type="102" refreshedVersion="7" minRefreshableVersion="5">
    <extLst>
      <ext xmlns:x15="http://schemas.microsoft.com/office/spreadsheetml/2010/11/main" uri="{DE250136-89BD-433C-8126-D09CA5730AF9}">
        <x15:connection id="Fuel_prices" autoDelete="1">
          <x15:rangePr sourceName="_xlcn.WorksheetConnection_Fuel_Prices_Analysis.xlsxFuel_pric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<sst xmlns="http://schemas.openxmlformats.org/spreadsheetml/2006/main" count="730" uniqueCount="46">
  <si>
    <t>Date</t>
  </si>
  <si>
    <t>Crude_Oil_Price</t>
  </si>
  <si>
    <t>Year</t>
  </si>
  <si>
    <t>Month</t>
  </si>
  <si>
    <t>Quarter</t>
  </si>
  <si>
    <t>Price_change</t>
  </si>
  <si>
    <t>%_change</t>
  </si>
  <si>
    <t>Trend Analysis</t>
  </si>
  <si>
    <t>MonthName</t>
  </si>
  <si>
    <t>Trend</t>
  </si>
  <si>
    <t>&lt;=5%</t>
  </si>
  <si>
    <t>&gt;5%</t>
  </si>
  <si>
    <t>&gt;25%</t>
  </si>
  <si>
    <t>&gt;50%</t>
  </si>
  <si>
    <t>SevereImpact</t>
  </si>
  <si>
    <t>HighImpact</t>
  </si>
  <si>
    <t>MidImpact</t>
  </si>
  <si>
    <t>LittleImpact</t>
  </si>
  <si>
    <t xml:space="preserve">Reference </t>
  </si>
  <si>
    <t>Grand Total</t>
  </si>
  <si>
    <t>HIGH IMPACT</t>
  </si>
  <si>
    <t>LITTLE IMPACT</t>
  </si>
  <si>
    <t>MID IMPACT</t>
  </si>
  <si>
    <t>SEVERE IMPACT</t>
  </si>
  <si>
    <t>Jan</t>
  </si>
  <si>
    <t>Feb</t>
  </si>
  <si>
    <t>Mar</t>
  </si>
  <si>
    <t>Apr</t>
  </si>
  <si>
    <t>May</t>
  </si>
  <si>
    <t>Jun</t>
  </si>
  <si>
    <t>Jul</t>
  </si>
  <si>
    <t>Aug</t>
  </si>
  <si>
    <t>Sep</t>
  </si>
  <si>
    <t>Oct</t>
  </si>
  <si>
    <t>Nov</t>
  </si>
  <si>
    <t>Dec</t>
  </si>
  <si>
    <t>Avg_ %_change</t>
  </si>
  <si>
    <t>No_Of_Month</t>
  </si>
  <si>
    <t>Q1</t>
  </si>
  <si>
    <t>Q2</t>
  </si>
  <si>
    <t>Q3</t>
  </si>
  <si>
    <t>Q4</t>
  </si>
  <si>
    <t>Quarters</t>
  </si>
  <si>
    <t>Avg_%_change</t>
  </si>
  <si>
    <t>Avg</t>
  </si>
  <si>
    <t>Average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</si>
</sst>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
      <patternFill patternType="solid">
        <fgColor theme="7"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applyAlignment="1">
      <alignment horizontal="center" vertical="center"/>
    </xf>
    <xf numFmtId="0" fontId="17" fillId="33" borderId="0" xfId="0" applyFont="1" applyFill="1" applyAlignment="1">
      <alignment horizontal="center" vertical="center"/>
    </xf>
    <xf numFmtId="14"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NumberFormat="1" applyAlignment="1">
      <alignment horizontal="center" vertical="center"/>
    </xf>
    <xf numFmtId="2" fontId="17" fillId="33" borderId="0" xfId="0" applyNumberFormat="1" applyFont="1" applyFill="1" applyAlignment="1">
      <alignment horizontal="center" vertical="center"/>
    </xf>
    <xf numFmtId="2" fontId="0" fillId="0" borderId="0" xfId="0" applyNumberFormat="1"/>
    <xf numFmtId="0" fontId="13" fillId="33" borderId="0" xfId="0" applyFont="1" applyFill="1" applyAlignment="1">
      <alignment horizontal="center" vertical="center"/>
    </xf>
    <xf numFmtId="0" fontId="0" fillId="0" borderId="0" xfId="0" pivotButton="1" applyAlignment="1">
      <alignment horizontal="center" vertical="center"/>
    </xf>
    <xf numFmtId="0" fontId="13" fillId="33" borderId="10" xfId="0" applyFont="1" applyFill="1" applyBorder="1" applyAlignment="1">
      <alignment horizontal="center" vertical="center"/>
    </xf>
    <xf numFmtId="0" fontId="13" fillId="33" borderId="11" xfId="0" applyFont="1" applyFill="1" applyBorder="1" applyAlignment="1">
      <alignment horizontal="center" vertical="center"/>
    </xf>
    <xf numFmtId="0" fontId="0" fillId="34" borderId="0" xfId="0" applyFill="1" applyAlignment="1">
      <alignment horizontal="center"/>
    </xf>
    <xf numFmtId="0" fontId="0" fillId="0" borderId="0" xfId="0" applyAlignment="1">
      <alignment horizontal="center" vertical="center" indent="1"/>
    </xf>
    <xf numFmtId="0" fontId="0" fillId="0" borderId="0" xfId="0" applyAlignment="1">
      <alignment horizontal="center" vertical="center"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57">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0" formatCode="General"/>
      <alignment horizontal="center"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theme="4" tint="0.39997558519241921"/>
        </top>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[Fuel_Prices_Analysis.xlsx]Pivots!Month_Trend</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ahnschrift" panose="020B0502040204020203" pitchFamily="34" charset="0"/>
                <a:ea typeface="+mn-ea"/>
                <a:cs typeface="+mn-cs"/>
              </a:defRPr>
            </a:pPr>
            <a:r>
              <a:rPr lang="en-US" sz="1000"/>
              <a:t>Crude Oil Price Impact Analysis (Month-wise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ahnschrift" panose="020B050204020402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Pivots!$D$3:$D$7</c:f>
              <c:strCache>
                <c:ptCount val="4"/>
                <c:pt idx="0">
                  <c:v>HIGH IMPACT</c:v>
                </c:pt>
                <c:pt idx="1">
                  <c:v>LITTLE IMPACT</c:v>
                </c:pt>
                <c:pt idx="2">
                  <c:v>MID IMPACT</c:v>
                </c:pt>
                <c:pt idx="3">
                  <c:v>SEVERE IMPACT</c:v>
                </c:pt>
              </c:strCache>
            </c:strRef>
          </c:cat>
          <c:val>
            <c:numRef>
              <c:f>Pivots!$E$3:$E$7</c:f>
              <c:numCache>
                <c:formatCode>General</c:formatCode>
                <c:ptCount val="4"/>
                <c:pt idx="0">
                  <c:v>11</c:v>
                </c:pt>
                <c:pt idx="1">
                  <c:v>399</c:v>
                </c:pt>
                <c:pt idx="2">
                  <c:v>262</c:v>
                </c:pt>
                <c:pt idx="3">
                  <c:v>3</c:v>
                </c:pt>
              </c:numCache>
            </c:numRef>
          </c:val>
          <c:extLst>
            <c:ext xmlns:c16="http://schemas.microsoft.com/office/drawing/2014/chart" uri="{C3380CC4-5D6E-409C-BE32-E72D297353CC}">
              <c16:uniqueId val="{00000000-1E7D-41A4-A8E0-D07D091D8394}"/>
            </c:ext>
          </c:extLst>
        </c:ser>
        <c:dLbls>
          <c:dLblPos val="outEnd"/>
          <c:showLegendKey val="0"/>
          <c:showVal val="1"/>
          <c:showCatName val="0"/>
          <c:showSerName val="0"/>
          <c:showPercent val="0"/>
          <c:showBubbleSize val="0"/>
        </c:dLbls>
        <c:gapWidth val="115"/>
        <c:overlap val="-20"/>
        <c:axId val="1468261871"/>
        <c:axId val="1468247727"/>
      </c:barChart>
      <c:catAx>
        <c:axId val="146826187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ahnschrift" panose="020B0502040204020203" pitchFamily="34" charset="0"/>
                <a:ea typeface="+mn-ea"/>
                <a:cs typeface="+mn-cs"/>
              </a:defRPr>
            </a:pPr>
            <a:endParaRPr lang="en-US"/>
          </a:p>
        </c:txPr>
        <c:crossAx val="1468247727"/>
        <c:crosses val="autoZero"/>
        <c:auto val="1"/>
        <c:lblAlgn val="ctr"/>
        <c:lblOffset val="100"/>
        <c:noMultiLvlLbl val="0"/>
      </c:catAx>
      <c:valAx>
        <c:axId val="1468247727"/>
        <c:scaling>
          <c:orientation val="minMax"/>
        </c:scaling>
        <c:delete val="1"/>
        <c:axPos val="b"/>
        <c:numFmt formatCode="General" sourceLinked="1"/>
        <c:majorTickMark val="out"/>
        <c:minorTickMark val="none"/>
        <c:tickLblPos val="nextTo"/>
        <c:crossAx val="1468261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a:noFill/>
    </a:ln>
    <a:effectLst>
      <a:glow rad="63500">
        <a:schemeClr val="accent2">
          <a:lumMod val="40000"/>
          <a:lumOff val="60000"/>
          <a:alpha val="40000"/>
        </a:schemeClr>
      </a:glow>
    </a:effectLst>
  </c:spPr>
  <c:txPr>
    <a:bodyPr/>
    <a:lstStyle/>
    <a:p>
      <a:pPr>
        <a:defRPr baseline="0">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[Fuel_Prices_Analysis.xlsx]Pivots!PivotTable2</c:name>
    <c:fmtId val="4"/>
  </c:pivotSource>
  <c:chart>
    <c:title>
      <c:tx>
        <c:rich>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Bahnschrift" panose="020B0502040204020203" pitchFamily="34" charset="0"/>
                <a:ea typeface="+mn-ea"/>
                <a:cs typeface="+mn-cs"/>
              </a:defRPr>
            </a:pPr>
            <a:r>
              <a:rPr lang="en-US" sz="1000" b="1">
                <a:solidFill>
                  <a:schemeClr val="bg1"/>
                </a:solidFill>
              </a:rPr>
              <a:t>Crude Oil Price Volatility by Quarter (Avg % Change)</a:t>
            </a:r>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dk1"/>
              </a:solidFill>
              <a:effectLst>
                <a:outerShdw blurRad="50800" dist="38100" dir="5400000" algn="t" rotWithShape="0">
                  <a:prstClr val="black">
                    <a:alpha val="40000"/>
                  </a:prstClr>
                </a:outerShdw>
              </a:effectLst>
              <a:latin typeface="Bahnschrift" panose="020B0502040204020203"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ln>
                    <a:solidFill>
                      <a:schemeClr val="accent1">
                        <a:lumMod val="50000"/>
                      </a:schemeClr>
                    </a:solidFill>
                  </a:ln>
                  <a:solidFill>
                    <a:schemeClr val="tx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ln>
                    <a:solidFill>
                      <a:schemeClr val="accent1">
                        <a:lumMod val="50000"/>
                      </a:schemeClr>
                    </a:solidFill>
                  </a:ln>
                  <a:solidFill>
                    <a:schemeClr val="tx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dk1"/>
                  </a:solidFill>
                  <a:latin typeface="Bahnschrift" panose="020B0502040204020203" pitchFamily="34" charset="0"/>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Pivots!$E$10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E5-499A-9FBD-C0B857F497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E5-499A-9FBD-C0B857F497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E5-499A-9FBD-C0B857F497F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4E5-499A-9FBD-C0B857F497F5}"/>
              </c:ext>
            </c:extLst>
          </c:dPt>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dk1"/>
                    </a:solidFill>
                    <a:latin typeface="Bahnschrift" panose="020B0502040204020203" pitchFamily="34" charset="0"/>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Pivots!$D$11:$D$15</c:f>
              <c:strCache>
                <c:ptCount val="4"/>
                <c:pt idx="0">
                  <c:v>Q1</c:v>
                </c:pt>
                <c:pt idx="1">
                  <c:v>Q2</c:v>
                </c:pt>
                <c:pt idx="2">
                  <c:v>Q3</c:v>
                </c:pt>
                <c:pt idx="3">
                  <c:v>Q4</c:v>
                </c:pt>
              </c:strCache>
            </c:strRef>
          </c:cat>
          <c:val>
            <c:numRef>
              <c:f>Pivots!$E$11:$E$15</c:f>
              <c:numCache>
                <c:formatCode>0.00</c:formatCode>
                <c:ptCount val="4"/>
                <c:pt idx="0">
                  <c:v>2.69046783625731</c:v>
                </c:pt>
                <c:pt idx="1">
                  <c:v>1.5210714285714286</c:v>
                </c:pt>
                <c:pt idx="2">
                  <c:v>1.1092261904761904</c:v>
                </c:pt>
                <c:pt idx="3">
                  <c:v>-0.70994047619047618</c:v>
                </c:pt>
              </c:numCache>
            </c:numRef>
          </c:val>
          <c:extLst>
            <c:ext xmlns:c16="http://schemas.microsoft.com/office/drawing/2014/chart" uri="{C3380CC4-5D6E-409C-BE32-E72D297353CC}">
              <c16:uniqueId val="{00000008-14E5-499A-9FBD-C0B857F497F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a:noFill/>
    </a:ln>
    <a:effectLst>
      <a:glow rad="63500">
        <a:schemeClr val="accent2">
          <a:lumMod val="40000"/>
          <a:lumOff val="60000"/>
          <a:alpha val="40000"/>
        </a:schemeClr>
      </a:glow>
    </a:effectLst>
  </c:spPr>
  <c:txPr>
    <a:bodyPr/>
    <a:lstStyle/>
    <a:p>
      <a:pPr>
        <a:defRPr lang="en-US" sz="1000" b="0" i="0" u="none" strike="noStrike" kern="1200" baseline="0">
          <a:solidFill>
            <a:schemeClr val="dk1"/>
          </a:solidFill>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[Fuel_Prices_Analysis.xlsx]Pivots!Month_Avgchange</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b="1" i="0" u="none" strike="noStrike" baseline="0">
                <a:effectLst>
                  <a:outerShdw blurRad="50800" dist="38100" dir="5400000" algn="t" rotWithShape="0">
                    <a:prstClr val="black">
                      <a:alpha val="40000"/>
                    </a:prstClr>
                  </a:outerShdw>
                </a:effectLst>
                <a:latin typeface="Bahnschrift" panose="020B0502040204020203" pitchFamily="34" charset="0"/>
              </a:rPr>
              <a:t>Seasonal Trends in Crude Oil Prices</a:t>
            </a:r>
          </a:p>
          <a:p>
            <a:pPr>
              <a:defRPr/>
            </a:pPr>
            <a:r>
              <a:rPr lang="en-US" sz="1000" b="1" i="0" u="none" strike="noStrike" baseline="0">
                <a:effectLst>
                  <a:outerShdw blurRad="50800" dist="38100" dir="5400000" algn="t" rotWithShape="0">
                    <a:prstClr val="black">
                      <a:alpha val="40000"/>
                    </a:prstClr>
                  </a:outerShdw>
                </a:effectLst>
                <a:latin typeface="Bahnschrift" panose="020B0502040204020203" pitchFamily="34" charset="0"/>
              </a:rPr>
              <a:t> (Avg % Change by Month)</a:t>
            </a:r>
            <a:endParaRPr lang="en-US" sz="1000">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Pivots!$B$3:$B$15</c:f>
              <c:numCache>
                <c:formatCode>0.00</c:formatCode>
                <c:ptCount val="12"/>
                <c:pt idx="0">
                  <c:v>6.1926315789473705</c:v>
                </c:pt>
                <c:pt idx="1">
                  <c:v>5.4912280701754287E-2</c:v>
                </c:pt>
                <c:pt idx="2">
                  <c:v>1.8238596491228074</c:v>
                </c:pt>
                <c:pt idx="3">
                  <c:v>1.2641071428571429</c:v>
                </c:pt>
                <c:pt idx="4">
                  <c:v>2.9633928571428574</c:v>
                </c:pt>
                <c:pt idx="5">
                  <c:v>0.33571428571428552</c:v>
                </c:pt>
                <c:pt idx="6">
                  <c:v>0.89607142857142885</c:v>
                </c:pt>
                <c:pt idx="7">
                  <c:v>1.6533928571428567</c:v>
                </c:pt>
                <c:pt idx="8">
                  <c:v>0.77821428571428553</c:v>
                </c:pt>
                <c:pt idx="9">
                  <c:v>1.4330357142857149</c:v>
                </c:pt>
                <c:pt idx="10">
                  <c:v>-1.5705357142857146</c:v>
                </c:pt>
                <c:pt idx="11">
                  <c:v>-1.9923214285714281</c:v>
                </c:pt>
              </c:numCache>
            </c:numRef>
          </c:val>
          <c:extLst>
            <c:ext xmlns:c16="http://schemas.microsoft.com/office/drawing/2014/chart" uri="{C3380CC4-5D6E-409C-BE32-E72D297353CC}">
              <c16:uniqueId val="{00000000-E7AA-47DD-86A3-8C81DA9AD3DA}"/>
            </c:ext>
          </c:extLst>
        </c:ser>
        <c:dLbls>
          <c:dLblPos val="outEnd"/>
          <c:showLegendKey val="0"/>
          <c:showVal val="1"/>
          <c:showCatName val="0"/>
          <c:showSerName val="0"/>
          <c:showPercent val="0"/>
          <c:showBubbleSize val="0"/>
        </c:dLbls>
        <c:gapWidth val="100"/>
        <c:overlap val="-24"/>
        <c:axId val="1603121695"/>
        <c:axId val="1603125855"/>
      </c:barChart>
      <c:catAx>
        <c:axId val="160312169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125855"/>
        <c:crosses val="autoZero"/>
        <c:auto val="1"/>
        <c:lblAlgn val="ctr"/>
        <c:lblOffset val="100"/>
        <c:noMultiLvlLbl val="0"/>
      </c:catAx>
      <c:valAx>
        <c:axId val="1603125855"/>
        <c:scaling>
          <c:orientation val="minMax"/>
        </c:scaling>
        <c:delete val="1"/>
        <c:axPos val="l"/>
        <c:numFmt formatCode="0.00" sourceLinked="1"/>
        <c:majorTickMark val="out"/>
        <c:minorTickMark val="none"/>
        <c:tickLblPos val="nextTo"/>
        <c:crossAx val="1603121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a:noFill/>
    </a:ln>
    <a:effectLst>
      <a:glow rad="63500">
        <a:schemeClr val="accent2">
          <a:lumMod val="40000"/>
          <a:lumOff val="6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[Fuel_Prices_Analysis.xlsx]Pivots!PivotTable5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b="1" i="0" u="none" strike="noStrike" baseline="0">
                <a:solidFill>
                  <a:schemeClr val="bg1"/>
                </a:solidFill>
                <a:effectLst>
                  <a:outerShdw blurRad="50800" dist="38100" dir="5400000" algn="t" rotWithShape="0">
                    <a:prstClr val="black">
                      <a:alpha val="40000"/>
                    </a:prstClr>
                  </a:outerShdw>
                </a:effectLst>
                <a:latin typeface="Bahnschrift" panose="020B0502040204020203" pitchFamily="34" charset="0"/>
              </a:rPr>
              <a:t>Crude Oil Price Trends Across Year, Quarter, and Month</a:t>
            </a:r>
            <a:endParaRPr lang="en-US" sz="1000">
              <a:solidFill>
                <a:schemeClr val="bg1"/>
              </a:solidFill>
              <a:latin typeface="Bahnschrift" panose="020B0502040204020203" pitchFamily="34" charset="0"/>
            </a:endParaRPr>
          </a:p>
        </c:rich>
      </c:tx>
      <c:layout>
        <c:manualLayout>
          <c:xMode val="edge"/>
          <c:yMode val="edge"/>
          <c:x val="0.1109766855702583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Pivots!$I$2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Pivots!$H$3:$H$960</c:f>
              <c:multiLvlStrCache>
                <c:ptCount val="67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pt idx="144">
                    <c:v>Jan</c:v>
                  </c:pt>
                  <c:pt idx="145">
                    <c:v>Feb</c:v>
                  </c:pt>
                  <c:pt idx="146">
                    <c:v>Mar</c:v>
                  </c:pt>
                  <c:pt idx="147">
                    <c:v>Apr</c:v>
                  </c:pt>
                  <c:pt idx="148">
                    <c:v>May</c:v>
                  </c:pt>
                  <c:pt idx="149">
                    <c:v>Jun</c:v>
                  </c:pt>
                  <c:pt idx="150">
                    <c:v>Jul</c:v>
                  </c:pt>
                  <c:pt idx="151">
                    <c:v>Aug</c:v>
                  </c:pt>
                  <c:pt idx="152">
                    <c:v>Sep</c:v>
                  </c:pt>
                  <c:pt idx="153">
                    <c:v>Oct</c:v>
                  </c:pt>
                  <c:pt idx="154">
                    <c:v>Nov</c:v>
                  </c:pt>
                  <c:pt idx="155">
                    <c:v>Dec</c:v>
                  </c:pt>
                  <c:pt idx="156">
                    <c:v>Jan</c:v>
                  </c:pt>
                  <c:pt idx="157">
                    <c:v>Feb</c:v>
                  </c:pt>
                  <c:pt idx="158">
                    <c:v>Mar</c:v>
                  </c:pt>
                  <c:pt idx="159">
                    <c:v>Apr</c:v>
                  </c:pt>
                  <c:pt idx="160">
                    <c:v>May</c:v>
                  </c:pt>
                  <c:pt idx="161">
                    <c:v>Jun</c:v>
                  </c:pt>
                  <c:pt idx="162">
                    <c:v>Jul</c:v>
                  </c:pt>
                  <c:pt idx="163">
                    <c:v>Aug</c:v>
                  </c:pt>
                  <c:pt idx="164">
                    <c:v>Sep</c:v>
                  </c:pt>
                  <c:pt idx="165">
                    <c:v>Oct</c:v>
                  </c:pt>
                  <c:pt idx="166">
                    <c:v>Nov</c:v>
                  </c:pt>
                  <c:pt idx="167">
                    <c:v>Dec</c:v>
                  </c:pt>
                  <c:pt idx="168">
                    <c:v>Jan</c:v>
                  </c:pt>
                  <c:pt idx="169">
                    <c:v>Feb</c:v>
                  </c:pt>
                  <c:pt idx="170">
                    <c:v>Mar</c:v>
                  </c:pt>
                  <c:pt idx="171">
                    <c:v>Apr</c:v>
                  </c:pt>
                  <c:pt idx="172">
                    <c:v>May</c:v>
                  </c:pt>
                  <c:pt idx="173">
                    <c:v>Jun</c:v>
                  </c:pt>
                  <c:pt idx="174">
                    <c:v>Jul</c:v>
                  </c:pt>
                  <c:pt idx="175">
                    <c:v>Aug</c:v>
                  </c:pt>
                  <c:pt idx="176">
                    <c:v>Sep</c:v>
                  </c:pt>
                  <c:pt idx="177">
                    <c:v>Oct</c:v>
                  </c:pt>
                  <c:pt idx="178">
                    <c:v>Nov</c:v>
                  </c:pt>
                  <c:pt idx="179">
                    <c:v>Dec</c:v>
                  </c:pt>
                  <c:pt idx="180">
                    <c:v>Jan</c:v>
                  </c:pt>
                  <c:pt idx="181">
                    <c:v>Feb</c:v>
                  </c:pt>
                  <c:pt idx="182">
                    <c:v>Mar</c:v>
                  </c:pt>
                  <c:pt idx="183">
                    <c:v>Apr</c:v>
                  </c:pt>
                  <c:pt idx="184">
                    <c:v>May</c:v>
                  </c:pt>
                  <c:pt idx="185">
                    <c:v>Jun</c:v>
                  </c:pt>
                  <c:pt idx="186">
                    <c:v>Jul</c:v>
                  </c:pt>
                  <c:pt idx="187">
                    <c:v>Aug</c:v>
                  </c:pt>
                  <c:pt idx="188">
                    <c:v>Sep</c:v>
                  </c:pt>
                  <c:pt idx="189">
                    <c:v>Oct</c:v>
                  </c:pt>
                  <c:pt idx="190">
                    <c:v>Nov</c:v>
                  </c:pt>
                  <c:pt idx="191">
                    <c:v>Dec</c:v>
                  </c:pt>
                  <c:pt idx="192">
                    <c:v>Jan</c:v>
                  </c:pt>
                  <c:pt idx="193">
                    <c:v>Feb</c:v>
                  </c:pt>
                  <c:pt idx="194">
                    <c:v>Mar</c:v>
                  </c:pt>
                  <c:pt idx="195">
                    <c:v>Apr</c:v>
                  </c:pt>
                  <c:pt idx="196">
                    <c:v>May</c:v>
                  </c:pt>
                  <c:pt idx="197">
                    <c:v>Jun</c:v>
                  </c:pt>
                  <c:pt idx="198">
                    <c:v>Jul</c:v>
                  </c:pt>
                  <c:pt idx="199">
                    <c:v>Aug</c:v>
                  </c:pt>
                  <c:pt idx="200">
                    <c:v>Sep</c:v>
                  </c:pt>
                  <c:pt idx="201">
                    <c:v>Oct</c:v>
                  </c:pt>
                  <c:pt idx="202">
                    <c:v>Nov</c:v>
                  </c:pt>
                  <c:pt idx="203">
                    <c:v>Dec</c:v>
                  </c:pt>
                  <c:pt idx="204">
                    <c:v>Jan</c:v>
                  </c:pt>
                  <c:pt idx="205">
                    <c:v>Feb</c:v>
                  </c:pt>
                  <c:pt idx="206">
                    <c:v>Mar</c:v>
                  </c:pt>
                  <c:pt idx="207">
                    <c:v>Apr</c:v>
                  </c:pt>
                  <c:pt idx="208">
                    <c:v>May</c:v>
                  </c:pt>
                  <c:pt idx="209">
                    <c:v>Jun</c:v>
                  </c:pt>
                  <c:pt idx="210">
                    <c:v>Jul</c:v>
                  </c:pt>
                  <c:pt idx="211">
                    <c:v>Aug</c:v>
                  </c:pt>
                  <c:pt idx="212">
                    <c:v>Sep</c:v>
                  </c:pt>
                  <c:pt idx="213">
                    <c:v>Oct</c:v>
                  </c:pt>
                  <c:pt idx="214">
                    <c:v>Nov</c:v>
                  </c:pt>
                  <c:pt idx="215">
                    <c:v>Dec</c:v>
                  </c:pt>
                  <c:pt idx="216">
                    <c:v>Jan</c:v>
                  </c:pt>
                  <c:pt idx="217">
                    <c:v>Feb</c:v>
                  </c:pt>
                  <c:pt idx="218">
                    <c:v>Mar</c:v>
                  </c:pt>
                  <c:pt idx="219">
                    <c:v>Apr</c:v>
                  </c:pt>
                  <c:pt idx="220">
                    <c:v>May</c:v>
                  </c:pt>
                  <c:pt idx="221">
                    <c:v>Jun</c:v>
                  </c:pt>
                  <c:pt idx="222">
                    <c:v>Jul</c:v>
                  </c:pt>
                  <c:pt idx="223">
                    <c:v>Aug</c:v>
                  </c:pt>
                  <c:pt idx="224">
                    <c:v>Sep</c:v>
                  </c:pt>
                  <c:pt idx="225">
                    <c:v>Oct</c:v>
                  </c:pt>
                  <c:pt idx="226">
                    <c:v>Nov</c:v>
                  </c:pt>
                  <c:pt idx="227">
                    <c:v>Dec</c:v>
                  </c:pt>
                  <c:pt idx="228">
                    <c:v>Jan</c:v>
                  </c:pt>
                  <c:pt idx="229">
                    <c:v>Feb</c:v>
                  </c:pt>
                  <c:pt idx="230">
                    <c:v>Mar</c:v>
                  </c:pt>
                  <c:pt idx="231">
                    <c:v>Apr</c:v>
                  </c:pt>
                  <c:pt idx="232">
                    <c:v>May</c:v>
                  </c:pt>
                  <c:pt idx="233">
                    <c:v>Jun</c:v>
                  </c:pt>
                  <c:pt idx="234">
                    <c:v>Jul</c:v>
                  </c:pt>
                  <c:pt idx="235">
                    <c:v>Aug</c:v>
                  </c:pt>
                  <c:pt idx="236">
                    <c:v>Sep</c:v>
                  </c:pt>
                  <c:pt idx="237">
                    <c:v>Oct</c:v>
                  </c:pt>
                  <c:pt idx="238">
                    <c:v>Nov</c:v>
                  </c:pt>
                  <c:pt idx="239">
                    <c:v>Dec</c:v>
                  </c:pt>
                  <c:pt idx="240">
                    <c:v>Jan</c:v>
                  </c:pt>
                  <c:pt idx="241">
                    <c:v>Feb</c:v>
                  </c:pt>
                  <c:pt idx="242">
                    <c:v>Mar</c:v>
                  </c:pt>
                  <c:pt idx="243">
                    <c:v>Apr</c:v>
                  </c:pt>
                  <c:pt idx="244">
                    <c:v>May</c:v>
                  </c:pt>
                  <c:pt idx="245">
                    <c:v>Jun</c:v>
                  </c:pt>
                  <c:pt idx="246">
                    <c:v>Jul</c:v>
                  </c:pt>
                  <c:pt idx="247">
                    <c:v>Aug</c:v>
                  </c:pt>
                  <c:pt idx="248">
                    <c:v>Sep</c:v>
                  </c:pt>
                  <c:pt idx="249">
                    <c:v>Oct</c:v>
                  </c:pt>
                  <c:pt idx="250">
                    <c:v>Nov</c:v>
                  </c:pt>
                  <c:pt idx="251">
                    <c:v>Dec</c:v>
                  </c:pt>
                  <c:pt idx="252">
                    <c:v>Jan</c:v>
                  </c:pt>
                  <c:pt idx="253">
                    <c:v>Feb</c:v>
                  </c:pt>
                  <c:pt idx="254">
                    <c:v>Mar</c:v>
                  </c:pt>
                  <c:pt idx="255">
                    <c:v>Apr</c:v>
                  </c:pt>
                  <c:pt idx="256">
                    <c:v>May</c:v>
                  </c:pt>
                  <c:pt idx="257">
                    <c:v>Jun</c:v>
                  </c:pt>
                  <c:pt idx="258">
                    <c:v>Jul</c:v>
                  </c:pt>
                  <c:pt idx="259">
                    <c:v>Aug</c:v>
                  </c:pt>
                  <c:pt idx="260">
                    <c:v>Sep</c:v>
                  </c:pt>
                  <c:pt idx="261">
                    <c:v>Oct</c:v>
                  </c:pt>
                  <c:pt idx="262">
                    <c:v>Nov</c:v>
                  </c:pt>
                  <c:pt idx="263">
                    <c:v>Dec</c:v>
                  </c:pt>
                  <c:pt idx="264">
                    <c:v>Jan</c:v>
                  </c:pt>
                  <c:pt idx="265">
                    <c:v>Feb</c:v>
                  </c:pt>
                  <c:pt idx="266">
                    <c:v>Mar</c:v>
                  </c:pt>
                  <c:pt idx="267">
                    <c:v>Apr</c:v>
                  </c:pt>
                  <c:pt idx="268">
                    <c:v>May</c:v>
                  </c:pt>
                  <c:pt idx="269">
                    <c:v>Jun</c:v>
                  </c:pt>
                  <c:pt idx="270">
                    <c:v>Jul</c:v>
                  </c:pt>
                  <c:pt idx="271">
                    <c:v>Aug</c:v>
                  </c:pt>
                  <c:pt idx="272">
                    <c:v>Sep</c:v>
                  </c:pt>
                  <c:pt idx="273">
                    <c:v>Oct</c:v>
                  </c:pt>
                  <c:pt idx="274">
                    <c:v>Nov</c:v>
                  </c:pt>
                  <c:pt idx="275">
                    <c:v>Dec</c:v>
                  </c:pt>
                  <c:pt idx="276">
                    <c:v>Jan</c:v>
                  </c:pt>
                  <c:pt idx="277">
                    <c:v>Feb</c:v>
                  </c:pt>
                  <c:pt idx="278">
                    <c:v>Mar</c:v>
                  </c:pt>
                  <c:pt idx="279">
                    <c:v>Apr</c:v>
                  </c:pt>
                  <c:pt idx="280">
                    <c:v>May</c:v>
                  </c:pt>
                  <c:pt idx="281">
                    <c:v>Jun</c:v>
                  </c:pt>
                  <c:pt idx="282">
                    <c:v>Jul</c:v>
                  </c:pt>
                  <c:pt idx="283">
                    <c:v>Aug</c:v>
                  </c:pt>
                  <c:pt idx="284">
                    <c:v>Sep</c:v>
                  </c:pt>
                  <c:pt idx="285">
                    <c:v>Oct</c:v>
                  </c:pt>
                  <c:pt idx="286">
                    <c:v>Nov</c:v>
                  </c:pt>
                  <c:pt idx="287">
                    <c:v>Dec</c:v>
                  </c:pt>
                  <c:pt idx="288">
                    <c:v>Jan</c:v>
                  </c:pt>
                  <c:pt idx="289">
                    <c:v>Feb</c:v>
                  </c:pt>
                  <c:pt idx="290">
                    <c:v>Mar</c:v>
                  </c:pt>
                  <c:pt idx="291">
                    <c:v>Apr</c:v>
                  </c:pt>
                  <c:pt idx="292">
                    <c:v>May</c:v>
                  </c:pt>
                  <c:pt idx="293">
                    <c:v>Jun</c:v>
                  </c:pt>
                  <c:pt idx="294">
                    <c:v>Jul</c:v>
                  </c:pt>
                  <c:pt idx="295">
                    <c:v>Aug</c:v>
                  </c:pt>
                  <c:pt idx="296">
                    <c:v>Sep</c:v>
                  </c:pt>
                  <c:pt idx="297">
                    <c:v>Oct</c:v>
                  </c:pt>
                  <c:pt idx="298">
                    <c:v>Nov</c:v>
                  </c:pt>
                  <c:pt idx="299">
                    <c:v>Dec</c:v>
                  </c:pt>
                  <c:pt idx="300">
                    <c:v>Jan</c:v>
                  </c:pt>
                  <c:pt idx="301">
                    <c:v>Feb</c:v>
                  </c:pt>
                  <c:pt idx="302">
                    <c:v>Mar</c:v>
                  </c:pt>
                  <c:pt idx="303">
                    <c:v>Apr</c:v>
                  </c:pt>
                  <c:pt idx="304">
                    <c:v>May</c:v>
                  </c:pt>
                  <c:pt idx="305">
                    <c:v>Jun</c:v>
                  </c:pt>
                  <c:pt idx="306">
                    <c:v>Jul</c:v>
                  </c:pt>
                  <c:pt idx="307">
                    <c:v>Aug</c:v>
                  </c:pt>
                  <c:pt idx="308">
                    <c:v>Sep</c:v>
                  </c:pt>
                  <c:pt idx="309">
                    <c:v>Oct</c:v>
                  </c:pt>
                  <c:pt idx="310">
                    <c:v>Nov</c:v>
                  </c:pt>
                  <c:pt idx="311">
                    <c:v>Dec</c:v>
                  </c:pt>
                  <c:pt idx="312">
                    <c:v>Jan</c:v>
                  </c:pt>
                  <c:pt idx="313">
                    <c:v>Feb</c:v>
                  </c:pt>
                  <c:pt idx="314">
                    <c:v>Mar</c:v>
                  </c:pt>
                  <c:pt idx="315">
                    <c:v>Apr</c:v>
                  </c:pt>
                  <c:pt idx="316">
                    <c:v>May</c:v>
                  </c:pt>
                  <c:pt idx="317">
                    <c:v>Jun</c:v>
                  </c:pt>
                  <c:pt idx="318">
                    <c:v>Jul</c:v>
                  </c:pt>
                  <c:pt idx="319">
                    <c:v>Aug</c:v>
                  </c:pt>
                  <c:pt idx="320">
                    <c:v>Sep</c:v>
                  </c:pt>
                  <c:pt idx="321">
                    <c:v>Oct</c:v>
                  </c:pt>
                  <c:pt idx="322">
                    <c:v>Nov</c:v>
                  </c:pt>
                  <c:pt idx="323">
                    <c:v>Dec</c:v>
                  </c:pt>
                  <c:pt idx="324">
                    <c:v>Jan</c:v>
                  </c:pt>
                  <c:pt idx="325">
                    <c:v>Feb</c:v>
                  </c:pt>
                  <c:pt idx="326">
                    <c:v>Mar</c:v>
                  </c:pt>
                  <c:pt idx="327">
                    <c:v>Apr</c:v>
                  </c:pt>
                  <c:pt idx="328">
                    <c:v>May</c:v>
                  </c:pt>
                  <c:pt idx="329">
                    <c:v>Jun</c:v>
                  </c:pt>
                  <c:pt idx="330">
                    <c:v>Jul</c:v>
                  </c:pt>
                  <c:pt idx="331">
                    <c:v>Aug</c:v>
                  </c:pt>
                  <c:pt idx="332">
                    <c:v>Sep</c:v>
                  </c:pt>
                  <c:pt idx="333">
                    <c:v>Oct</c:v>
                  </c:pt>
                  <c:pt idx="334">
                    <c:v>Nov</c:v>
                  </c:pt>
                  <c:pt idx="335">
                    <c:v>Dec</c:v>
                  </c:pt>
                  <c:pt idx="336">
                    <c:v>Jan</c:v>
                  </c:pt>
                  <c:pt idx="337">
                    <c:v>Feb</c:v>
                  </c:pt>
                  <c:pt idx="338">
                    <c:v>Mar</c:v>
                  </c:pt>
                  <c:pt idx="339">
                    <c:v>Apr</c:v>
                  </c:pt>
                  <c:pt idx="340">
                    <c:v>May</c:v>
                  </c:pt>
                  <c:pt idx="341">
                    <c:v>Jun</c:v>
                  </c:pt>
                  <c:pt idx="342">
                    <c:v>Jul</c:v>
                  </c:pt>
                  <c:pt idx="343">
                    <c:v>Aug</c:v>
                  </c:pt>
                  <c:pt idx="344">
                    <c:v>Sep</c:v>
                  </c:pt>
                  <c:pt idx="345">
                    <c:v>Oct</c:v>
                  </c:pt>
                  <c:pt idx="346">
                    <c:v>Nov</c:v>
                  </c:pt>
                  <c:pt idx="347">
                    <c:v>Dec</c:v>
                  </c:pt>
                  <c:pt idx="348">
                    <c:v>Jan</c:v>
                  </c:pt>
                  <c:pt idx="349">
                    <c:v>Feb</c:v>
                  </c:pt>
                  <c:pt idx="350">
                    <c:v>Mar</c:v>
                  </c:pt>
                  <c:pt idx="351">
                    <c:v>Apr</c:v>
                  </c:pt>
                  <c:pt idx="352">
                    <c:v>May</c:v>
                  </c:pt>
                  <c:pt idx="353">
                    <c:v>Jun</c:v>
                  </c:pt>
                  <c:pt idx="354">
                    <c:v>Jul</c:v>
                  </c:pt>
                  <c:pt idx="355">
                    <c:v>Aug</c:v>
                  </c:pt>
                  <c:pt idx="356">
                    <c:v>Sep</c:v>
                  </c:pt>
                  <c:pt idx="357">
                    <c:v>Oct</c:v>
                  </c:pt>
                  <c:pt idx="358">
                    <c:v>Nov</c:v>
                  </c:pt>
                  <c:pt idx="359">
                    <c:v>Dec</c:v>
                  </c:pt>
                  <c:pt idx="360">
                    <c:v>Jan</c:v>
                  </c:pt>
                  <c:pt idx="361">
                    <c:v>Feb</c:v>
                  </c:pt>
                  <c:pt idx="362">
                    <c:v>Mar</c:v>
                  </c:pt>
                  <c:pt idx="363">
                    <c:v>Apr</c:v>
                  </c:pt>
                  <c:pt idx="364">
                    <c:v>May</c:v>
                  </c:pt>
                  <c:pt idx="365">
                    <c:v>Jun</c:v>
                  </c:pt>
                  <c:pt idx="366">
                    <c:v>Jul</c:v>
                  </c:pt>
                  <c:pt idx="367">
                    <c:v>Aug</c:v>
                  </c:pt>
                  <c:pt idx="368">
                    <c:v>Sep</c:v>
                  </c:pt>
                  <c:pt idx="369">
                    <c:v>Oct</c:v>
                  </c:pt>
                  <c:pt idx="370">
                    <c:v>Nov</c:v>
                  </c:pt>
                  <c:pt idx="371">
                    <c:v>Dec</c:v>
                  </c:pt>
                  <c:pt idx="372">
                    <c:v>Jan</c:v>
                  </c:pt>
                  <c:pt idx="373">
                    <c:v>Feb</c:v>
                  </c:pt>
                  <c:pt idx="374">
                    <c:v>Mar</c:v>
                  </c:pt>
                  <c:pt idx="375">
                    <c:v>Apr</c:v>
                  </c:pt>
                  <c:pt idx="376">
                    <c:v>May</c:v>
                  </c:pt>
                  <c:pt idx="377">
                    <c:v>Jun</c:v>
                  </c:pt>
                  <c:pt idx="378">
                    <c:v>Jul</c:v>
                  </c:pt>
                  <c:pt idx="379">
                    <c:v>Aug</c:v>
                  </c:pt>
                  <c:pt idx="380">
                    <c:v>Sep</c:v>
                  </c:pt>
                  <c:pt idx="381">
                    <c:v>Oct</c:v>
                  </c:pt>
                  <c:pt idx="382">
                    <c:v>Nov</c:v>
                  </c:pt>
                  <c:pt idx="383">
                    <c:v>Dec</c:v>
                  </c:pt>
                  <c:pt idx="384">
                    <c:v>Jan</c:v>
                  </c:pt>
                  <c:pt idx="385">
                    <c:v>Feb</c:v>
                  </c:pt>
                  <c:pt idx="386">
                    <c:v>Mar</c:v>
                  </c:pt>
                  <c:pt idx="387">
                    <c:v>Apr</c:v>
                  </c:pt>
                  <c:pt idx="388">
                    <c:v>May</c:v>
                  </c:pt>
                  <c:pt idx="389">
                    <c:v>Jun</c:v>
                  </c:pt>
                  <c:pt idx="390">
                    <c:v>Jul</c:v>
                  </c:pt>
                  <c:pt idx="391">
                    <c:v>Aug</c:v>
                  </c:pt>
                  <c:pt idx="392">
                    <c:v>Sep</c:v>
                  </c:pt>
                  <c:pt idx="393">
                    <c:v>Oct</c:v>
                  </c:pt>
                  <c:pt idx="394">
                    <c:v>Nov</c:v>
                  </c:pt>
                  <c:pt idx="395">
                    <c:v>Dec</c:v>
                  </c:pt>
                  <c:pt idx="396">
                    <c:v>Jan</c:v>
                  </c:pt>
                  <c:pt idx="397">
                    <c:v>Feb</c:v>
                  </c:pt>
                  <c:pt idx="398">
                    <c:v>Mar</c:v>
                  </c:pt>
                  <c:pt idx="399">
                    <c:v>Apr</c:v>
                  </c:pt>
                  <c:pt idx="400">
                    <c:v>May</c:v>
                  </c:pt>
                  <c:pt idx="401">
                    <c:v>Jun</c:v>
                  </c:pt>
                  <c:pt idx="402">
                    <c:v>Jul</c:v>
                  </c:pt>
                  <c:pt idx="403">
                    <c:v>Aug</c:v>
                  </c:pt>
                  <c:pt idx="404">
                    <c:v>Sep</c:v>
                  </c:pt>
                  <c:pt idx="405">
                    <c:v>Oct</c:v>
                  </c:pt>
                  <c:pt idx="406">
                    <c:v>Nov</c:v>
                  </c:pt>
                  <c:pt idx="407">
                    <c:v>Dec</c:v>
                  </c:pt>
                  <c:pt idx="408">
                    <c:v>Jan</c:v>
                  </c:pt>
                  <c:pt idx="409">
                    <c:v>Feb</c:v>
                  </c:pt>
                  <c:pt idx="410">
                    <c:v>Mar</c:v>
                  </c:pt>
                  <c:pt idx="411">
                    <c:v>Apr</c:v>
                  </c:pt>
                  <c:pt idx="412">
                    <c:v>May</c:v>
                  </c:pt>
                  <c:pt idx="413">
                    <c:v>Jun</c:v>
                  </c:pt>
                  <c:pt idx="414">
                    <c:v>Jul</c:v>
                  </c:pt>
                  <c:pt idx="415">
                    <c:v>Aug</c:v>
                  </c:pt>
                  <c:pt idx="416">
                    <c:v>Sep</c:v>
                  </c:pt>
                  <c:pt idx="417">
                    <c:v>Oct</c:v>
                  </c:pt>
                  <c:pt idx="418">
                    <c:v>Nov</c:v>
                  </c:pt>
                  <c:pt idx="419">
                    <c:v>Dec</c:v>
                  </c:pt>
                  <c:pt idx="420">
                    <c:v>Jan</c:v>
                  </c:pt>
                  <c:pt idx="421">
                    <c:v>Feb</c:v>
                  </c:pt>
                  <c:pt idx="422">
                    <c:v>Mar</c:v>
                  </c:pt>
                  <c:pt idx="423">
                    <c:v>Apr</c:v>
                  </c:pt>
                  <c:pt idx="424">
                    <c:v>May</c:v>
                  </c:pt>
                  <c:pt idx="425">
                    <c:v>Jun</c:v>
                  </c:pt>
                  <c:pt idx="426">
                    <c:v>Jul</c:v>
                  </c:pt>
                  <c:pt idx="427">
                    <c:v>Aug</c:v>
                  </c:pt>
                  <c:pt idx="428">
                    <c:v>Sep</c:v>
                  </c:pt>
                  <c:pt idx="429">
                    <c:v>Oct</c:v>
                  </c:pt>
                  <c:pt idx="430">
                    <c:v>Nov</c:v>
                  </c:pt>
                  <c:pt idx="431">
                    <c:v>Dec</c:v>
                  </c:pt>
                  <c:pt idx="432">
                    <c:v>Jan</c:v>
                  </c:pt>
                  <c:pt idx="433">
                    <c:v>Feb</c:v>
                  </c:pt>
                  <c:pt idx="434">
                    <c:v>Mar</c:v>
                  </c:pt>
                  <c:pt idx="435">
                    <c:v>Apr</c:v>
                  </c:pt>
                  <c:pt idx="436">
                    <c:v>May</c:v>
                  </c:pt>
                  <c:pt idx="437">
                    <c:v>Jun</c:v>
                  </c:pt>
                  <c:pt idx="438">
                    <c:v>Jul</c:v>
                  </c:pt>
                  <c:pt idx="439">
                    <c:v>Aug</c:v>
                  </c:pt>
                  <c:pt idx="440">
                    <c:v>Sep</c:v>
                  </c:pt>
                  <c:pt idx="441">
                    <c:v>Oct</c:v>
                  </c:pt>
                  <c:pt idx="442">
                    <c:v>Nov</c:v>
                  </c:pt>
                  <c:pt idx="443">
                    <c:v>Dec</c:v>
                  </c:pt>
                  <c:pt idx="444">
                    <c:v>Jan</c:v>
                  </c:pt>
                  <c:pt idx="445">
                    <c:v>Feb</c:v>
                  </c:pt>
                  <c:pt idx="446">
                    <c:v>Mar</c:v>
                  </c:pt>
                  <c:pt idx="447">
                    <c:v>Apr</c:v>
                  </c:pt>
                  <c:pt idx="448">
                    <c:v>May</c:v>
                  </c:pt>
                  <c:pt idx="449">
                    <c:v>Jun</c:v>
                  </c:pt>
                  <c:pt idx="450">
                    <c:v>Jul</c:v>
                  </c:pt>
                  <c:pt idx="451">
                    <c:v>Aug</c:v>
                  </c:pt>
                  <c:pt idx="452">
                    <c:v>Sep</c:v>
                  </c:pt>
                  <c:pt idx="453">
                    <c:v>Oct</c:v>
                  </c:pt>
                  <c:pt idx="454">
                    <c:v>Nov</c:v>
                  </c:pt>
                  <c:pt idx="455">
                    <c:v>Dec</c:v>
                  </c:pt>
                  <c:pt idx="456">
                    <c:v>Jan</c:v>
                  </c:pt>
                  <c:pt idx="457">
                    <c:v>Feb</c:v>
                  </c:pt>
                  <c:pt idx="458">
                    <c:v>Mar</c:v>
                  </c:pt>
                  <c:pt idx="459">
                    <c:v>Apr</c:v>
                  </c:pt>
                  <c:pt idx="460">
                    <c:v>May</c:v>
                  </c:pt>
                  <c:pt idx="461">
                    <c:v>Jun</c:v>
                  </c:pt>
                  <c:pt idx="462">
                    <c:v>Jul</c:v>
                  </c:pt>
                  <c:pt idx="463">
                    <c:v>Aug</c:v>
                  </c:pt>
                  <c:pt idx="464">
                    <c:v>Sep</c:v>
                  </c:pt>
                  <c:pt idx="465">
                    <c:v>Oct</c:v>
                  </c:pt>
                  <c:pt idx="466">
                    <c:v>Nov</c:v>
                  </c:pt>
                  <c:pt idx="467">
                    <c:v>Dec</c:v>
                  </c:pt>
                  <c:pt idx="468">
                    <c:v>Jan</c:v>
                  </c:pt>
                  <c:pt idx="469">
                    <c:v>Feb</c:v>
                  </c:pt>
                  <c:pt idx="470">
                    <c:v>Mar</c:v>
                  </c:pt>
                  <c:pt idx="471">
                    <c:v>Apr</c:v>
                  </c:pt>
                  <c:pt idx="472">
                    <c:v>May</c:v>
                  </c:pt>
                  <c:pt idx="473">
                    <c:v>Jun</c:v>
                  </c:pt>
                  <c:pt idx="474">
                    <c:v>Jul</c:v>
                  </c:pt>
                  <c:pt idx="475">
                    <c:v>Aug</c:v>
                  </c:pt>
                  <c:pt idx="476">
                    <c:v>Sep</c:v>
                  </c:pt>
                  <c:pt idx="477">
                    <c:v>Oct</c:v>
                  </c:pt>
                  <c:pt idx="478">
                    <c:v>Nov</c:v>
                  </c:pt>
                  <c:pt idx="479">
                    <c:v>Dec</c:v>
                  </c:pt>
                  <c:pt idx="480">
                    <c:v>Jan</c:v>
                  </c:pt>
                  <c:pt idx="481">
                    <c:v>Feb</c:v>
                  </c:pt>
                  <c:pt idx="482">
                    <c:v>Mar</c:v>
                  </c:pt>
                  <c:pt idx="483">
                    <c:v>Apr</c:v>
                  </c:pt>
                  <c:pt idx="484">
                    <c:v>May</c:v>
                  </c:pt>
                  <c:pt idx="485">
                    <c:v>Jun</c:v>
                  </c:pt>
                  <c:pt idx="486">
                    <c:v>Jul</c:v>
                  </c:pt>
                  <c:pt idx="487">
                    <c:v>Aug</c:v>
                  </c:pt>
                  <c:pt idx="488">
                    <c:v>Sep</c:v>
                  </c:pt>
                  <c:pt idx="489">
                    <c:v>Oct</c:v>
                  </c:pt>
                  <c:pt idx="490">
                    <c:v>Nov</c:v>
                  </c:pt>
                  <c:pt idx="491">
                    <c:v>Dec</c:v>
                  </c:pt>
                  <c:pt idx="492">
                    <c:v>Jan</c:v>
                  </c:pt>
                  <c:pt idx="493">
                    <c:v>Feb</c:v>
                  </c:pt>
                  <c:pt idx="494">
                    <c:v>Mar</c:v>
                  </c:pt>
                  <c:pt idx="495">
                    <c:v>Apr</c:v>
                  </c:pt>
                  <c:pt idx="496">
                    <c:v>May</c:v>
                  </c:pt>
                  <c:pt idx="497">
                    <c:v>Jun</c:v>
                  </c:pt>
                  <c:pt idx="498">
                    <c:v>Jul</c:v>
                  </c:pt>
                  <c:pt idx="499">
                    <c:v>Aug</c:v>
                  </c:pt>
                  <c:pt idx="500">
                    <c:v>Sep</c:v>
                  </c:pt>
                  <c:pt idx="501">
                    <c:v>Oct</c:v>
                  </c:pt>
                  <c:pt idx="502">
                    <c:v>Nov</c:v>
                  </c:pt>
                  <c:pt idx="503">
                    <c:v>Dec</c:v>
                  </c:pt>
                  <c:pt idx="504">
                    <c:v>Jan</c:v>
                  </c:pt>
                  <c:pt idx="505">
                    <c:v>Feb</c:v>
                  </c:pt>
                  <c:pt idx="506">
                    <c:v>Mar</c:v>
                  </c:pt>
                  <c:pt idx="507">
                    <c:v>Apr</c:v>
                  </c:pt>
                  <c:pt idx="508">
                    <c:v>May</c:v>
                  </c:pt>
                  <c:pt idx="509">
                    <c:v>Jun</c:v>
                  </c:pt>
                  <c:pt idx="510">
                    <c:v>Jul</c:v>
                  </c:pt>
                  <c:pt idx="511">
                    <c:v>Aug</c:v>
                  </c:pt>
                  <c:pt idx="512">
                    <c:v>Sep</c:v>
                  </c:pt>
                  <c:pt idx="513">
                    <c:v>Oct</c:v>
                  </c:pt>
                  <c:pt idx="514">
                    <c:v>Nov</c:v>
                  </c:pt>
                  <c:pt idx="515">
                    <c:v>Dec</c:v>
                  </c:pt>
                  <c:pt idx="516">
                    <c:v>Jan</c:v>
                  </c:pt>
                  <c:pt idx="517">
                    <c:v>Feb</c:v>
                  </c:pt>
                  <c:pt idx="518">
                    <c:v>Mar</c:v>
                  </c:pt>
                  <c:pt idx="519">
                    <c:v>Apr</c:v>
                  </c:pt>
                  <c:pt idx="520">
                    <c:v>May</c:v>
                  </c:pt>
                  <c:pt idx="521">
                    <c:v>Jun</c:v>
                  </c:pt>
                  <c:pt idx="522">
                    <c:v>Jul</c:v>
                  </c:pt>
                  <c:pt idx="523">
                    <c:v>Aug</c:v>
                  </c:pt>
                  <c:pt idx="524">
                    <c:v>Sep</c:v>
                  </c:pt>
                  <c:pt idx="525">
                    <c:v>Oct</c:v>
                  </c:pt>
                  <c:pt idx="526">
                    <c:v>Nov</c:v>
                  </c:pt>
                  <c:pt idx="527">
                    <c:v>Dec</c:v>
                  </c:pt>
                  <c:pt idx="528">
                    <c:v>Jan</c:v>
                  </c:pt>
                  <c:pt idx="529">
                    <c:v>Feb</c:v>
                  </c:pt>
                  <c:pt idx="530">
                    <c:v>Mar</c:v>
                  </c:pt>
                  <c:pt idx="531">
                    <c:v>Apr</c:v>
                  </c:pt>
                  <c:pt idx="532">
                    <c:v>May</c:v>
                  </c:pt>
                  <c:pt idx="533">
                    <c:v>Jun</c:v>
                  </c:pt>
                  <c:pt idx="534">
                    <c:v>Jul</c:v>
                  </c:pt>
                  <c:pt idx="535">
                    <c:v>Aug</c:v>
                  </c:pt>
                  <c:pt idx="536">
                    <c:v>Sep</c:v>
                  </c:pt>
                  <c:pt idx="537">
                    <c:v>Oct</c:v>
                  </c:pt>
                  <c:pt idx="538">
                    <c:v>Nov</c:v>
                  </c:pt>
                  <c:pt idx="539">
                    <c:v>Dec</c:v>
                  </c:pt>
                  <c:pt idx="540">
                    <c:v>Jan</c:v>
                  </c:pt>
                  <c:pt idx="541">
                    <c:v>Feb</c:v>
                  </c:pt>
                  <c:pt idx="542">
                    <c:v>Mar</c:v>
                  </c:pt>
                  <c:pt idx="543">
                    <c:v>Apr</c:v>
                  </c:pt>
                  <c:pt idx="544">
                    <c:v>May</c:v>
                  </c:pt>
                  <c:pt idx="545">
                    <c:v>Jun</c:v>
                  </c:pt>
                  <c:pt idx="546">
                    <c:v>Jul</c:v>
                  </c:pt>
                  <c:pt idx="547">
                    <c:v>Aug</c:v>
                  </c:pt>
                  <c:pt idx="548">
                    <c:v>Sep</c:v>
                  </c:pt>
                  <c:pt idx="549">
                    <c:v>Oct</c:v>
                  </c:pt>
                  <c:pt idx="550">
                    <c:v>Nov</c:v>
                  </c:pt>
                  <c:pt idx="551">
                    <c:v>Dec</c:v>
                  </c:pt>
                  <c:pt idx="552">
                    <c:v>Jan</c:v>
                  </c:pt>
                  <c:pt idx="553">
                    <c:v>Feb</c:v>
                  </c:pt>
                  <c:pt idx="554">
                    <c:v>Mar</c:v>
                  </c:pt>
                  <c:pt idx="555">
                    <c:v>Apr</c:v>
                  </c:pt>
                  <c:pt idx="556">
                    <c:v>May</c:v>
                  </c:pt>
                  <c:pt idx="557">
                    <c:v>Jun</c:v>
                  </c:pt>
                  <c:pt idx="558">
                    <c:v>Jul</c:v>
                  </c:pt>
                  <c:pt idx="559">
                    <c:v>Aug</c:v>
                  </c:pt>
                  <c:pt idx="560">
                    <c:v>Sep</c:v>
                  </c:pt>
                  <c:pt idx="561">
                    <c:v>Oct</c:v>
                  </c:pt>
                  <c:pt idx="562">
                    <c:v>Nov</c:v>
                  </c:pt>
                  <c:pt idx="563">
                    <c:v>Dec</c:v>
                  </c:pt>
                  <c:pt idx="564">
                    <c:v>Jan</c:v>
                  </c:pt>
                  <c:pt idx="565">
                    <c:v>Feb</c:v>
                  </c:pt>
                  <c:pt idx="566">
                    <c:v>Mar</c:v>
                  </c:pt>
                  <c:pt idx="567">
                    <c:v>Apr</c:v>
                  </c:pt>
                  <c:pt idx="568">
                    <c:v>May</c:v>
                  </c:pt>
                  <c:pt idx="569">
                    <c:v>Jun</c:v>
                  </c:pt>
                  <c:pt idx="570">
                    <c:v>Jul</c:v>
                  </c:pt>
                  <c:pt idx="571">
                    <c:v>Aug</c:v>
                  </c:pt>
                  <c:pt idx="572">
                    <c:v>Sep</c:v>
                  </c:pt>
                  <c:pt idx="573">
                    <c:v>Oct</c:v>
                  </c:pt>
                  <c:pt idx="574">
                    <c:v>Nov</c:v>
                  </c:pt>
                  <c:pt idx="575">
                    <c:v>Dec</c:v>
                  </c:pt>
                  <c:pt idx="576">
                    <c:v>Jan</c:v>
                  </c:pt>
                  <c:pt idx="577">
                    <c:v>Feb</c:v>
                  </c:pt>
                  <c:pt idx="578">
                    <c:v>Mar</c:v>
                  </c:pt>
                  <c:pt idx="579">
                    <c:v>Apr</c:v>
                  </c:pt>
                  <c:pt idx="580">
                    <c:v>May</c:v>
                  </c:pt>
                  <c:pt idx="581">
                    <c:v>Jun</c:v>
                  </c:pt>
                  <c:pt idx="582">
                    <c:v>Jul</c:v>
                  </c:pt>
                  <c:pt idx="583">
                    <c:v>Aug</c:v>
                  </c:pt>
                  <c:pt idx="584">
                    <c:v>Sep</c:v>
                  </c:pt>
                  <c:pt idx="585">
                    <c:v>Oct</c:v>
                  </c:pt>
                  <c:pt idx="586">
                    <c:v>Nov</c:v>
                  </c:pt>
                  <c:pt idx="587">
                    <c:v>Dec</c:v>
                  </c:pt>
                  <c:pt idx="588">
                    <c:v>Jan</c:v>
                  </c:pt>
                  <c:pt idx="589">
                    <c:v>Feb</c:v>
                  </c:pt>
                  <c:pt idx="590">
                    <c:v>Mar</c:v>
                  </c:pt>
                  <c:pt idx="591">
                    <c:v>Apr</c:v>
                  </c:pt>
                  <c:pt idx="592">
                    <c:v>May</c:v>
                  </c:pt>
                  <c:pt idx="593">
                    <c:v>Jun</c:v>
                  </c:pt>
                  <c:pt idx="594">
                    <c:v>Jul</c:v>
                  </c:pt>
                  <c:pt idx="595">
                    <c:v>Aug</c:v>
                  </c:pt>
                  <c:pt idx="596">
                    <c:v>Sep</c:v>
                  </c:pt>
                  <c:pt idx="597">
                    <c:v>Oct</c:v>
                  </c:pt>
                  <c:pt idx="598">
                    <c:v>Nov</c:v>
                  </c:pt>
                  <c:pt idx="599">
                    <c:v>Dec</c:v>
                  </c:pt>
                  <c:pt idx="600">
                    <c:v>Jan</c:v>
                  </c:pt>
                  <c:pt idx="601">
                    <c:v>Feb</c:v>
                  </c:pt>
                  <c:pt idx="602">
                    <c:v>Mar</c:v>
                  </c:pt>
                  <c:pt idx="603">
                    <c:v>Apr</c:v>
                  </c:pt>
                  <c:pt idx="604">
                    <c:v>May</c:v>
                  </c:pt>
                  <c:pt idx="605">
                    <c:v>Jun</c:v>
                  </c:pt>
                  <c:pt idx="606">
                    <c:v>Jul</c:v>
                  </c:pt>
                  <c:pt idx="607">
                    <c:v>Aug</c:v>
                  </c:pt>
                  <c:pt idx="608">
                    <c:v>Sep</c:v>
                  </c:pt>
                  <c:pt idx="609">
                    <c:v>Oct</c:v>
                  </c:pt>
                  <c:pt idx="610">
                    <c:v>Nov</c:v>
                  </c:pt>
                  <c:pt idx="611">
                    <c:v>Dec</c:v>
                  </c:pt>
                  <c:pt idx="612">
                    <c:v>Jan</c:v>
                  </c:pt>
                  <c:pt idx="613">
                    <c:v>Feb</c:v>
                  </c:pt>
                  <c:pt idx="614">
                    <c:v>Mar</c:v>
                  </c:pt>
                  <c:pt idx="615">
                    <c:v>Apr</c:v>
                  </c:pt>
                  <c:pt idx="616">
                    <c:v>May</c:v>
                  </c:pt>
                  <c:pt idx="617">
                    <c:v>Jun</c:v>
                  </c:pt>
                  <c:pt idx="618">
                    <c:v>Jul</c:v>
                  </c:pt>
                  <c:pt idx="619">
                    <c:v>Aug</c:v>
                  </c:pt>
                  <c:pt idx="620">
                    <c:v>Sep</c:v>
                  </c:pt>
                  <c:pt idx="621">
                    <c:v>Oct</c:v>
                  </c:pt>
                  <c:pt idx="622">
                    <c:v>Nov</c:v>
                  </c:pt>
                  <c:pt idx="623">
                    <c:v>Dec</c:v>
                  </c:pt>
                  <c:pt idx="624">
                    <c:v>Jan</c:v>
                  </c:pt>
                  <c:pt idx="625">
                    <c:v>Feb</c:v>
                  </c:pt>
                  <c:pt idx="626">
                    <c:v>Mar</c:v>
                  </c:pt>
                  <c:pt idx="627">
                    <c:v>Apr</c:v>
                  </c:pt>
                  <c:pt idx="628">
                    <c:v>May</c:v>
                  </c:pt>
                  <c:pt idx="629">
                    <c:v>Jun</c:v>
                  </c:pt>
                  <c:pt idx="630">
                    <c:v>Jul</c:v>
                  </c:pt>
                  <c:pt idx="631">
                    <c:v>Aug</c:v>
                  </c:pt>
                  <c:pt idx="632">
                    <c:v>Sep</c:v>
                  </c:pt>
                  <c:pt idx="633">
                    <c:v>Oct</c:v>
                  </c:pt>
                  <c:pt idx="634">
                    <c:v>Nov</c:v>
                  </c:pt>
                  <c:pt idx="635">
                    <c:v>Dec</c:v>
                  </c:pt>
                  <c:pt idx="636">
                    <c:v>Jan</c:v>
                  </c:pt>
                  <c:pt idx="637">
                    <c:v>Feb</c:v>
                  </c:pt>
                  <c:pt idx="638">
                    <c:v>Mar</c:v>
                  </c:pt>
                  <c:pt idx="639">
                    <c:v>Apr</c:v>
                  </c:pt>
                  <c:pt idx="640">
                    <c:v>May</c:v>
                  </c:pt>
                  <c:pt idx="641">
                    <c:v>Jun</c:v>
                  </c:pt>
                  <c:pt idx="642">
                    <c:v>Jul</c:v>
                  </c:pt>
                  <c:pt idx="643">
                    <c:v>Aug</c:v>
                  </c:pt>
                  <c:pt idx="644">
                    <c:v>Sep</c:v>
                  </c:pt>
                  <c:pt idx="645">
                    <c:v>Oct</c:v>
                  </c:pt>
                  <c:pt idx="646">
                    <c:v>Nov</c:v>
                  </c:pt>
                  <c:pt idx="647">
                    <c:v>Dec</c:v>
                  </c:pt>
                  <c:pt idx="648">
                    <c:v>Jan</c:v>
                  </c:pt>
                  <c:pt idx="649">
                    <c:v>Feb</c:v>
                  </c:pt>
                  <c:pt idx="650">
                    <c:v>Mar</c:v>
                  </c:pt>
                  <c:pt idx="651">
                    <c:v>Apr</c:v>
                  </c:pt>
                  <c:pt idx="652">
                    <c:v>May</c:v>
                  </c:pt>
                  <c:pt idx="653">
                    <c:v>Jun</c:v>
                  </c:pt>
                  <c:pt idx="654">
                    <c:v>Jul</c:v>
                  </c:pt>
                  <c:pt idx="655">
                    <c:v>Aug</c:v>
                  </c:pt>
                  <c:pt idx="656">
                    <c:v>Sep</c:v>
                  </c:pt>
                  <c:pt idx="657">
                    <c:v>Oct</c:v>
                  </c:pt>
                  <c:pt idx="658">
                    <c:v>Nov</c:v>
                  </c:pt>
                  <c:pt idx="659">
                    <c:v>Dec</c:v>
                  </c:pt>
                  <c:pt idx="660">
                    <c:v>Jan</c:v>
                  </c:pt>
                  <c:pt idx="661">
                    <c:v>Feb</c:v>
                  </c:pt>
                  <c:pt idx="662">
                    <c:v>Mar</c:v>
                  </c:pt>
                  <c:pt idx="663">
                    <c:v>Apr</c:v>
                  </c:pt>
                  <c:pt idx="664">
                    <c:v>May</c:v>
                  </c:pt>
                  <c:pt idx="665">
                    <c:v>Jun</c:v>
                  </c:pt>
                  <c:pt idx="666">
                    <c:v>Jul</c:v>
                  </c:pt>
                  <c:pt idx="667">
                    <c:v>Aug</c:v>
                  </c:pt>
                  <c:pt idx="668">
                    <c:v>Sep</c:v>
                  </c:pt>
                  <c:pt idx="669">
                    <c:v>Oct</c:v>
                  </c:pt>
                  <c:pt idx="670">
                    <c:v>Nov</c:v>
                  </c:pt>
                  <c:pt idx="671">
                    <c:v>Dec</c:v>
                  </c:pt>
                  <c:pt idx="672">
                    <c:v>Jan</c:v>
                  </c:pt>
                  <c:pt idx="673">
                    <c:v>Feb</c:v>
                  </c:pt>
                  <c:pt idx="674">
                    <c:v>Mar</c:v>
                  </c:pt>
                </c:lvl>
                <c:lvl>
                  <c:pt idx="0">
                    <c:v>1</c:v>
                  </c:pt>
                  <c:pt idx="3">
                    <c:v>2</c:v>
                  </c:pt>
                  <c:pt idx="6">
                    <c:v>3</c:v>
                  </c:pt>
                  <c:pt idx="9">
                    <c:v>4</c:v>
                  </c:pt>
                  <c:pt idx="12">
                    <c:v>1</c:v>
                  </c:pt>
                  <c:pt idx="15">
                    <c:v>2</c:v>
                  </c:pt>
                  <c:pt idx="18">
                    <c:v>3</c:v>
                  </c:pt>
                  <c:pt idx="21">
                    <c:v>4</c:v>
                  </c:pt>
                  <c:pt idx="24">
                    <c:v>1</c:v>
                  </c:pt>
                  <c:pt idx="27">
                    <c:v>2</c:v>
                  </c:pt>
                  <c:pt idx="30">
                    <c:v>3</c:v>
                  </c:pt>
                  <c:pt idx="33">
                    <c:v>4</c:v>
                  </c:pt>
                  <c:pt idx="36">
                    <c:v>1</c:v>
                  </c:pt>
                  <c:pt idx="39">
                    <c:v>2</c:v>
                  </c:pt>
                  <c:pt idx="42">
                    <c:v>3</c:v>
                  </c:pt>
                  <c:pt idx="45">
                    <c:v>4</c:v>
                  </c:pt>
                  <c:pt idx="48">
                    <c:v>1</c:v>
                  </c:pt>
                  <c:pt idx="51">
                    <c:v>2</c:v>
                  </c:pt>
                  <c:pt idx="54">
                    <c:v>3</c:v>
                  </c:pt>
                  <c:pt idx="57">
                    <c:v>4</c:v>
                  </c:pt>
                  <c:pt idx="60">
                    <c:v>1</c:v>
                  </c:pt>
                  <c:pt idx="63">
                    <c:v>2</c:v>
                  </c:pt>
                  <c:pt idx="66">
                    <c:v>3</c:v>
                  </c:pt>
                  <c:pt idx="69">
                    <c:v>4</c:v>
                  </c:pt>
                  <c:pt idx="72">
                    <c:v>1</c:v>
                  </c:pt>
                  <c:pt idx="75">
                    <c:v>2</c:v>
                  </c:pt>
                  <c:pt idx="78">
                    <c:v>3</c:v>
                  </c:pt>
                  <c:pt idx="81">
                    <c:v>4</c:v>
                  </c:pt>
                  <c:pt idx="84">
                    <c:v>1</c:v>
                  </c:pt>
                  <c:pt idx="87">
                    <c:v>2</c:v>
                  </c:pt>
                  <c:pt idx="90">
                    <c:v>3</c:v>
                  </c:pt>
                  <c:pt idx="93">
                    <c:v>4</c:v>
                  </c:pt>
                  <c:pt idx="96">
                    <c:v>1</c:v>
                  </c:pt>
                  <c:pt idx="99">
                    <c:v>2</c:v>
                  </c:pt>
                  <c:pt idx="102">
                    <c:v>3</c:v>
                  </c:pt>
                  <c:pt idx="105">
                    <c:v>4</c:v>
                  </c:pt>
                  <c:pt idx="108">
                    <c:v>1</c:v>
                  </c:pt>
                  <c:pt idx="111">
                    <c:v>2</c:v>
                  </c:pt>
                  <c:pt idx="114">
                    <c:v>3</c:v>
                  </c:pt>
                  <c:pt idx="117">
                    <c:v>4</c:v>
                  </c:pt>
                  <c:pt idx="120">
                    <c:v>1</c:v>
                  </c:pt>
                  <c:pt idx="123">
                    <c:v>2</c:v>
                  </c:pt>
                  <c:pt idx="126">
                    <c:v>3</c:v>
                  </c:pt>
                  <c:pt idx="129">
                    <c:v>4</c:v>
                  </c:pt>
                  <c:pt idx="132">
                    <c:v>1</c:v>
                  </c:pt>
                  <c:pt idx="135">
                    <c:v>2</c:v>
                  </c:pt>
                  <c:pt idx="138">
                    <c:v>3</c:v>
                  </c:pt>
                  <c:pt idx="141">
                    <c:v>4</c:v>
                  </c:pt>
                  <c:pt idx="144">
                    <c:v>1</c:v>
                  </c:pt>
                  <c:pt idx="147">
                    <c:v>2</c:v>
                  </c:pt>
                  <c:pt idx="150">
                    <c:v>3</c:v>
                  </c:pt>
                  <c:pt idx="153">
                    <c:v>4</c:v>
                  </c:pt>
                  <c:pt idx="156">
                    <c:v>1</c:v>
                  </c:pt>
                  <c:pt idx="159">
                    <c:v>2</c:v>
                  </c:pt>
                  <c:pt idx="162">
                    <c:v>3</c:v>
                  </c:pt>
                  <c:pt idx="165">
                    <c:v>4</c:v>
                  </c:pt>
                  <c:pt idx="168">
                    <c:v>1</c:v>
                  </c:pt>
                  <c:pt idx="171">
                    <c:v>2</c:v>
                  </c:pt>
                  <c:pt idx="174">
                    <c:v>3</c:v>
                  </c:pt>
                  <c:pt idx="177">
                    <c:v>4</c:v>
                  </c:pt>
                  <c:pt idx="180">
                    <c:v>1</c:v>
                  </c:pt>
                  <c:pt idx="183">
                    <c:v>2</c:v>
                  </c:pt>
                  <c:pt idx="186">
                    <c:v>3</c:v>
                  </c:pt>
                  <c:pt idx="189">
                    <c:v>4</c:v>
                  </c:pt>
                  <c:pt idx="192">
                    <c:v>1</c:v>
                  </c:pt>
                  <c:pt idx="195">
                    <c:v>2</c:v>
                  </c:pt>
                  <c:pt idx="198">
                    <c:v>3</c:v>
                  </c:pt>
                  <c:pt idx="201">
                    <c:v>4</c:v>
                  </c:pt>
                  <c:pt idx="204">
                    <c:v>1</c:v>
                  </c:pt>
                  <c:pt idx="207">
                    <c:v>2</c:v>
                  </c:pt>
                  <c:pt idx="210">
                    <c:v>3</c:v>
                  </c:pt>
                  <c:pt idx="213">
                    <c:v>4</c:v>
                  </c:pt>
                  <c:pt idx="216">
                    <c:v>1</c:v>
                  </c:pt>
                  <c:pt idx="219">
                    <c:v>2</c:v>
                  </c:pt>
                  <c:pt idx="222">
                    <c:v>3</c:v>
                  </c:pt>
                  <c:pt idx="225">
                    <c:v>4</c:v>
                  </c:pt>
                  <c:pt idx="228">
                    <c:v>1</c:v>
                  </c:pt>
                  <c:pt idx="231">
                    <c:v>2</c:v>
                  </c:pt>
                  <c:pt idx="234">
                    <c:v>3</c:v>
                  </c:pt>
                  <c:pt idx="237">
                    <c:v>4</c:v>
                  </c:pt>
                  <c:pt idx="240">
                    <c:v>1</c:v>
                  </c:pt>
                  <c:pt idx="243">
                    <c:v>2</c:v>
                  </c:pt>
                  <c:pt idx="246">
                    <c:v>3</c:v>
                  </c:pt>
                  <c:pt idx="249">
                    <c:v>4</c:v>
                  </c:pt>
                  <c:pt idx="252">
                    <c:v>1</c:v>
                  </c:pt>
                  <c:pt idx="255">
                    <c:v>2</c:v>
                  </c:pt>
                  <c:pt idx="258">
                    <c:v>3</c:v>
                  </c:pt>
                  <c:pt idx="261">
                    <c:v>4</c:v>
                  </c:pt>
                  <c:pt idx="264">
                    <c:v>1</c:v>
                  </c:pt>
                  <c:pt idx="267">
                    <c:v>2</c:v>
                  </c:pt>
                  <c:pt idx="270">
                    <c:v>3</c:v>
                  </c:pt>
                  <c:pt idx="273">
                    <c:v>4</c:v>
                  </c:pt>
                  <c:pt idx="276">
                    <c:v>1</c:v>
                  </c:pt>
                  <c:pt idx="279">
                    <c:v>2</c:v>
                  </c:pt>
                  <c:pt idx="282">
                    <c:v>3</c:v>
                  </c:pt>
                  <c:pt idx="285">
                    <c:v>4</c:v>
                  </c:pt>
                  <c:pt idx="288">
                    <c:v>1</c:v>
                  </c:pt>
                  <c:pt idx="291">
                    <c:v>2</c:v>
                  </c:pt>
                  <c:pt idx="294">
                    <c:v>3</c:v>
                  </c:pt>
                  <c:pt idx="297">
                    <c:v>4</c:v>
                  </c:pt>
                  <c:pt idx="300">
                    <c:v>1</c:v>
                  </c:pt>
                  <c:pt idx="303">
                    <c:v>2</c:v>
                  </c:pt>
                  <c:pt idx="306">
                    <c:v>3</c:v>
                  </c:pt>
                  <c:pt idx="309">
                    <c:v>4</c:v>
                  </c:pt>
                  <c:pt idx="312">
                    <c:v>1</c:v>
                  </c:pt>
                  <c:pt idx="315">
                    <c:v>2</c:v>
                  </c:pt>
                  <c:pt idx="318">
                    <c:v>3</c:v>
                  </c:pt>
                  <c:pt idx="321">
                    <c:v>4</c:v>
                  </c:pt>
                  <c:pt idx="324">
                    <c:v>1</c:v>
                  </c:pt>
                  <c:pt idx="327">
                    <c:v>2</c:v>
                  </c:pt>
                  <c:pt idx="330">
                    <c:v>3</c:v>
                  </c:pt>
                  <c:pt idx="333">
                    <c:v>4</c:v>
                  </c:pt>
                  <c:pt idx="336">
                    <c:v>1</c:v>
                  </c:pt>
                  <c:pt idx="339">
                    <c:v>2</c:v>
                  </c:pt>
                  <c:pt idx="342">
                    <c:v>3</c:v>
                  </c:pt>
                  <c:pt idx="345">
                    <c:v>4</c:v>
                  </c:pt>
                  <c:pt idx="348">
                    <c:v>1</c:v>
                  </c:pt>
                  <c:pt idx="351">
                    <c:v>2</c:v>
                  </c:pt>
                  <c:pt idx="354">
                    <c:v>3</c:v>
                  </c:pt>
                  <c:pt idx="357">
                    <c:v>4</c:v>
                  </c:pt>
                  <c:pt idx="360">
                    <c:v>1</c:v>
                  </c:pt>
                  <c:pt idx="363">
                    <c:v>2</c:v>
                  </c:pt>
                  <c:pt idx="366">
                    <c:v>3</c:v>
                  </c:pt>
                  <c:pt idx="369">
                    <c:v>4</c:v>
                  </c:pt>
                  <c:pt idx="372">
                    <c:v>1</c:v>
                  </c:pt>
                  <c:pt idx="375">
                    <c:v>2</c:v>
                  </c:pt>
                  <c:pt idx="378">
                    <c:v>3</c:v>
                  </c:pt>
                  <c:pt idx="381">
                    <c:v>4</c:v>
                  </c:pt>
                  <c:pt idx="384">
                    <c:v>1</c:v>
                  </c:pt>
                  <c:pt idx="387">
                    <c:v>2</c:v>
                  </c:pt>
                  <c:pt idx="390">
                    <c:v>3</c:v>
                  </c:pt>
                  <c:pt idx="393">
                    <c:v>4</c:v>
                  </c:pt>
                  <c:pt idx="396">
                    <c:v>1</c:v>
                  </c:pt>
                  <c:pt idx="399">
                    <c:v>2</c:v>
                  </c:pt>
                  <c:pt idx="402">
                    <c:v>3</c:v>
                  </c:pt>
                  <c:pt idx="405">
                    <c:v>4</c:v>
                  </c:pt>
                  <c:pt idx="408">
                    <c:v>1</c:v>
                  </c:pt>
                  <c:pt idx="411">
                    <c:v>2</c:v>
                  </c:pt>
                  <c:pt idx="414">
                    <c:v>3</c:v>
                  </c:pt>
                  <c:pt idx="417">
                    <c:v>4</c:v>
                  </c:pt>
                  <c:pt idx="420">
                    <c:v>1</c:v>
                  </c:pt>
                  <c:pt idx="423">
                    <c:v>2</c:v>
                  </c:pt>
                  <c:pt idx="426">
                    <c:v>3</c:v>
                  </c:pt>
                  <c:pt idx="429">
                    <c:v>4</c:v>
                  </c:pt>
                  <c:pt idx="432">
                    <c:v>1</c:v>
                  </c:pt>
                  <c:pt idx="435">
                    <c:v>2</c:v>
                  </c:pt>
                  <c:pt idx="438">
                    <c:v>3</c:v>
                  </c:pt>
                  <c:pt idx="441">
                    <c:v>4</c:v>
                  </c:pt>
                  <c:pt idx="444">
                    <c:v>1</c:v>
                  </c:pt>
                  <c:pt idx="447">
                    <c:v>2</c:v>
                  </c:pt>
                  <c:pt idx="450">
                    <c:v>3</c:v>
                  </c:pt>
                  <c:pt idx="453">
                    <c:v>4</c:v>
                  </c:pt>
                  <c:pt idx="456">
                    <c:v>1</c:v>
                  </c:pt>
                  <c:pt idx="459">
                    <c:v>2</c:v>
                  </c:pt>
                  <c:pt idx="462">
                    <c:v>3</c:v>
                  </c:pt>
                  <c:pt idx="465">
                    <c:v>4</c:v>
                  </c:pt>
                  <c:pt idx="468">
                    <c:v>1</c:v>
                  </c:pt>
                  <c:pt idx="471">
                    <c:v>2</c:v>
                  </c:pt>
                  <c:pt idx="474">
                    <c:v>3</c:v>
                  </c:pt>
                  <c:pt idx="477">
                    <c:v>4</c:v>
                  </c:pt>
                  <c:pt idx="480">
                    <c:v>1</c:v>
                  </c:pt>
                  <c:pt idx="483">
                    <c:v>2</c:v>
                  </c:pt>
                  <c:pt idx="486">
                    <c:v>3</c:v>
                  </c:pt>
                  <c:pt idx="489">
                    <c:v>4</c:v>
                  </c:pt>
                  <c:pt idx="492">
                    <c:v>1</c:v>
                  </c:pt>
                  <c:pt idx="495">
                    <c:v>2</c:v>
                  </c:pt>
                  <c:pt idx="498">
                    <c:v>3</c:v>
                  </c:pt>
                  <c:pt idx="501">
                    <c:v>4</c:v>
                  </c:pt>
                  <c:pt idx="504">
                    <c:v>1</c:v>
                  </c:pt>
                  <c:pt idx="507">
                    <c:v>2</c:v>
                  </c:pt>
                  <c:pt idx="510">
                    <c:v>3</c:v>
                  </c:pt>
                  <c:pt idx="513">
                    <c:v>4</c:v>
                  </c:pt>
                  <c:pt idx="516">
                    <c:v>1</c:v>
                  </c:pt>
                  <c:pt idx="519">
                    <c:v>2</c:v>
                  </c:pt>
                  <c:pt idx="522">
                    <c:v>3</c:v>
                  </c:pt>
                  <c:pt idx="525">
                    <c:v>4</c:v>
                  </c:pt>
                  <c:pt idx="528">
                    <c:v>1</c:v>
                  </c:pt>
                  <c:pt idx="531">
                    <c:v>2</c:v>
                  </c:pt>
                  <c:pt idx="534">
                    <c:v>3</c:v>
                  </c:pt>
                  <c:pt idx="537">
                    <c:v>4</c:v>
                  </c:pt>
                  <c:pt idx="540">
                    <c:v>1</c:v>
                  </c:pt>
                  <c:pt idx="543">
                    <c:v>2</c:v>
                  </c:pt>
                  <c:pt idx="546">
                    <c:v>3</c:v>
                  </c:pt>
                  <c:pt idx="549">
                    <c:v>4</c:v>
                  </c:pt>
                  <c:pt idx="552">
                    <c:v>1</c:v>
                  </c:pt>
                  <c:pt idx="555">
                    <c:v>2</c:v>
                  </c:pt>
                  <c:pt idx="558">
                    <c:v>3</c:v>
                  </c:pt>
                  <c:pt idx="561">
                    <c:v>4</c:v>
                  </c:pt>
                  <c:pt idx="564">
                    <c:v>1</c:v>
                  </c:pt>
                  <c:pt idx="567">
                    <c:v>2</c:v>
                  </c:pt>
                  <c:pt idx="570">
                    <c:v>3</c:v>
                  </c:pt>
                  <c:pt idx="573">
                    <c:v>4</c:v>
                  </c:pt>
                  <c:pt idx="576">
                    <c:v>1</c:v>
                  </c:pt>
                  <c:pt idx="579">
                    <c:v>2</c:v>
                  </c:pt>
                  <c:pt idx="582">
                    <c:v>3</c:v>
                  </c:pt>
                  <c:pt idx="585">
                    <c:v>4</c:v>
                  </c:pt>
                  <c:pt idx="588">
                    <c:v>1</c:v>
                  </c:pt>
                  <c:pt idx="591">
                    <c:v>2</c:v>
                  </c:pt>
                  <c:pt idx="594">
                    <c:v>3</c:v>
                  </c:pt>
                  <c:pt idx="597">
                    <c:v>4</c:v>
                  </c:pt>
                  <c:pt idx="600">
                    <c:v>1</c:v>
                  </c:pt>
                  <c:pt idx="603">
                    <c:v>2</c:v>
                  </c:pt>
                  <c:pt idx="606">
                    <c:v>3</c:v>
                  </c:pt>
                  <c:pt idx="609">
                    <c:v>4</c:v>
                  </c:pt>
                  <c:pt idx="612">
                    <c:v>1</c:v>
                  </c:pt>
                  <c:pt idx="615">
                    <c:v>2</c:v>
                  </c:pt>
                  <c:pt idx="618">
                    <c:v>3</c:v>
                  </c:pt>
                  <c:pt idx="621">
                    <c:v>4</c:v>
                  </c:pt>
                  <c:pt idx="624">
                    <c:v>1</c:v>
                  </c:pt>
                  <c:pt idx="627">
                    <c:v>2</c:v>
                  </c:pt>
                  <c:pt idx="630">
                    <c:v>3</c:v>
                  </c:pt>
                  <c:pt idx="633">
                    <c:v>4</c:v>
                  </c:pt>
                  <c:pt idx="636">
                    <c:v>1</c:v>
                  </c:pt>
                  <c:pt idx="639">
                    <c:v>2</c:v>
                  </c:pt>
                  <c:pt idx="642">
                    <c:v>3</c:v>
                  </c:pt>
                  <c:pt idx="645">
                    <c:v>4</c:v>
                  </c:pt>
                  <c:pt idx="648">
                    <c:v>1</c:v>
                  </c:pt>
                  <c:pt idx="651">
                    <c:v>2</c:v>
                  </c:pt>
                  <c:pt idx="654">
                    <c:v>3</c:v>
                  </c:pt>
                  <c:pt idx="657">
                    <c:v>4</c:v>
                  </c:pt>
                  <c:pt idx="660">
                    <c:v>1</c:v>
                  </c:pt>
                  <c:pt idx="663">
                    <c:v>2</c:v>
                  </c:pt>
                  <c:pt idx="666">
                    <c:v>3</c:v>
                  </c:pt>
                  <c:pt idx="669">
                    <c:v>4</c:v>
                  </c:pt>
                  <c:pt idx="672">
                    <c:v>1</c:v>
                  </c:pt>
                </c:lvl>
                <c:lvl>
                  <c:pt idx="0">
                    <c:v>1970</c:v>
                  </c:pt>
                  <c:pt idx="12">
                    <c:v>1971</c:v>
                  </c:pt>
                  <c:pt idx="24">
                    <c:v>1972</c:v>
                  </c:pt>
                  <c:pt idx="36">
                    <c:v>1973</c:v>
                  </c:pt>
                  <c:pt idx="48">
                    <c:v>1974</c:v>
                  </c:pt>
                  <c:pt idx="60">
                    <c:v>1975</c:v>
                  </c:pt>
                  <c:pt idx="72">
                    <c:v>1976</c:v>
                  </c:pt>
                  <c:pt idx="84">
                    <c:v>1977</c:v>
                  </c:pt>
                  <c:pt idx="96">
                    <c:v>1978</c:v>
                  </c:pt>
                  <c:pt idx="108">
                    <c:v>1979</c:v>
                  </c:pt>
                  <c:pt idx="120">
                    <c:v>1980</c:v>
                  </c:pt>
                  <c:pt idx="132">
                    <c:v>1981</c:v>
                  </c:pt>
                  <c:pt idx="144">
                    <c:v>1982</c:v>
                  </c:pt>
                  <c:pt idx="156">
                    <c:v>1983</c:v>
                  </c:pt>
                  <c:pt idx="168">
                    <c:v>1984</c:v>
                  </c:pt>
                  <c:pt idx="180">
                    <c:v>1985</c:v>
                  </c:pt>
                  <c:pt idx="192">
                    <c:v>1986</c:v>
                  </c:pt>
                  <c:pt idx="204">
                    <c:v>1987</c:v>
                  </c:pt>
                  <c:pt idx="216">
                    <c:v>1988</c:v>
                  </c:pt>
                  <c:pt idx="228">
                    <c:v>1989</c:v>
                  </c:pt>
                  <c:pt idx="240">
                    <c:v>1990</c:v>
                  </c:pt>
                  <c:pt idx="252">
                    <c:v>1991</c:v>
                  </c:pt>
                  <c:pt idx="264">
                    <c:v>1992</c:v>
                  </c:pt>
                  <c:pt idx="276">
                    <c:v>1993</c:v>
                  </c:pt>
                  <c:pt idx="288">
                    <c:v>1994</c:v>
                  </c:pt>
                  <c:pt idx="300">
                    <c:v>1995</c:v>
                  </c:pt>
                  <c:pt idx="312">
                    <c:v>1996</c:v>
                  </c:pt>
                  <c:pt idx="324">
                    <c:v>1997</c:v>
                  </c:pt>
                  <c:pt idx="336">
                    <c:v>1998</c:v>
                  </c:pt>
                  <c:pt idx="348">
                    <c:v>1999</c:v>
                  </c:pt>
                  <c:pt idx="360">
                    <c:v>2000</c:v>
                  </c:pt>
                  <c:pt idx="372">
                    <c:v>2001</c:v>
                  </c:pt>
                  <c:pt idx="384">
                    <c:v>2002</c:v>
                  </c:pt>
                  <c:pt idx="396">
                    <c:v>2003</c:v>
                  </c:pt>
                  <c:pt idx="408">
                    <c:v>2004</c:v>
                  </c:pt>
                  <c:pt idx="420">
                    <c:v>2005</c:v>
                  </c:pt>
                  <c:pt idx="432">
                    <c:v>2006</c:v>
                  </c:pt>
                  <c:pt idx="444">
                    <c:v>2007</c:v>
                  </c:pt>
                  <c:pt idx="456">
                    <c:v>2008</c:v>
                  </c:pt>
                  <c:pt idx="468">
                    <c:v>2009</c:v>
                  </c:pt>
                  <c:pt idx="480">
                    <c:v>2010</c:v>
                  </c:pt>
                  <c:pt idx="492">
                    <c:v>2011</c:v>
                  </c:pt>
                  <c:pt idx="504">
                    <c:v>2012</c:v>
                  </c:pt>
                  <c:pt idx="516">
                    <c:v>2013</c:v>
                  </c:pt>
                  <c:pt idx="528">
                    <c:v>2014</c:v>
                  </c:pt>
                  <c:pt idx="540">
                    <c:v>2015</c:v>
                  </c:pt>
                  <c:pt idx="552">
                    <c:v>2016</c:v>
                  </c:pt>
                  <c:pt idx="564">
                    <c:v>2017</c:v>
                  </c:pt>
                  <c:pt idx="576">
                    <c:v>2018</c:v>
                  </c:pt>
                  <c:pt idx="588">
                    <c:v>2019</c:v>
                  </c:pt>
                  <c:pt idx="600">
                    <c:v>2020</c:v>
                  </c:pt>
                  <c:pt idx="612">
                    <c:v>2021</c:v>
                  </c:pt>
                  <c:pt idx="624">
                    <c:v>2022</c:v>
                  </c:pt>
                  <c:pt idx="636">
                    <c:v>2023</c:v>
                  </c:pt>
                  <c:pt idx="648">
                    <c:v>2024</c:v>
                  </c:pt>
                  <c:pt idx="660">
                    <c:v>2025</c:v>
                  </c:pt>
                  <c:pt idx="672">
                    <c:v>2026</c:v>
                  </c:pt>
                </c:lvl>
              </c:multiLvlStrCache>
            </c:multiLvlStrRef>
          </c:cat>
          <c:val>
            <c:numRef>
              <c:f>Pivots!$I$3:$I$960</c:f>
              <c:numCache>
                <c:formatCode>0.00</c:formatCode>
                <c:ptCount val="675"/>
                <c:pt idx="0">
                  <c:v>1.21</c:v>
                </c:pt>
                <c:pt idx="1">
                  <c:v>1.21</c:v>
                </c:pt>
                <c:pt idx="2">
                  <c:v>1.21</c:v>
                </c:pt>
                <c:pt idx="3">
                  <c:v>1.21</c:v>
                </c:pt>
                <c:pt idx="4">
                  <c:v>1.21</c:v>
                </c:pt>
                <c:pt idx="5">
                  <c:v>1.21</c:v>
                </c:pt>
                <c:pt idx="6">
                  <c:v>1.21</c:v>
                </c:pt>
                <c:pt idx="7">
                  <c:v>1.21</c:v>
                </c:pt>
                <c:pt idx="8">
                  <c:v>1.21</c:v>
                </c:pt>
                <c:pt idx="9">
                  <c:v>1.21</c:v>
                </c:pt>
                <c:pt idx="10">
                  <c:v>1.21</c:v>
                </c:pt>
                <c:pt idx="11">
                  <c:v>1.21</c:v>
                </c:pt>
                <c:pt idx="12">
                  <c:v>1.64</c:v>
                </c:pt>
                <c:pt idx="13">
                  <c:v>1.64</c:v>
                </c:pt>
                <c:pt idx="14">
                  <c:v>1.64</c:v>
                </c:pt>
                <c:pt idx="15">
                  <c:v>1.64</c:v>
                </c:pt>
                <c:pt idx="16">
                  <c:v>1.64</c:v>
                </c:pt>
                <c:pt idx="17">
                  <c:v>1.64</c:v>
                </c:pt>
                <c:pt idx="18">
                  <c:v>1.74</c:v>
                </c:pt>
                <c:pt idx="19">
                  <c:v>1.74</c:v>
                </c:pt>
                <c:pt idx="20">
                  <c:v>1.74</c:v>
                </c:pt>
                <c:pt idx="21">
                  <c:v>1.74</c:v>
                </c:pt>
                <c:pt idx="22">
                  <c:v>1.74</c:v>
                </c:pt>
                <c:pt idx="23">
                  <c:v>1.74</c:v>
                </c:pt>
                <c:pt idx="24">
                  <c:v>1.77</c:v>
                </c:pt>
                <c:pt idx="25">
                  <c:v>1.77</c:v>
                </c:pt>
                <c:pt idx="26">
                  <c:v>1.77</c:v>
                </c:pt>
                <c:pt idx="27">
                  <c:v>1.77</c:v>
                </c:pt>
                <c:pt idx="28">
                  <c:v>1.77</c:v>
                </c:pt>
                <c:pt idx="29">
                  <c:v>1.77</c:v>
                </c:pt>
                <c:pt idx="30">
                  <c:v>1.87</c:v>
                </c:pt>
                <c:pt idx="31">
                  <c:v>1.87</c:v>
                </c:pt>
                <c:pt idx="32">
                  <c:v>1.87</c:v>
                </c:pt>
                <c:pt idx="33">
                  <c:v>1.87</c:v>
                </c:pt>
                <c:pt idx="34">
                  <c:v>1.87</c:v>
                </c:pt>
                <c:pt idx="35">
                  <c:v>1.87</c:v>
                </c:pt>
                <c:pt idx="36">
                  <c:v>2.08</c:v>
                </c:pt>
                <c:pt idx="37">
                  <c:v>2.08</c:v>
                </c:pt>
                <c:pt idx="38">
                  <c:v>2.08</c:v>
                </c:pt>
                <c:pt idx="39">
                  <c:v>2.35</c:v>
                </c:pt>
                <c:pt idx="40">
                  <c:v>2.35</c:v>
                </c:pt>
                <c:pt idx="41">
                  <c:v>2.35</c:v>
                </c:pt>
                <c:pt idx="42">
                  <c:v>2.7</c:v>
                </c:pt>
                <c:pt idx="43">
                  <c:v>2.7</c:v>
                </c:pt>
                <c:pt idx="44">
                  <c:v>2.7</c:v>
                </c:pt>
                <c:pt idx="45">
                  <c:v>4.0999999999999996</c:v>
                </c:pt>
                <c:pt idx="46">
                  <c:v>4.0999999999999996</c:v>
                </c:pt>
                <c:pt idx="47">
                  <c:v>4.0999999999999996</c:v>
                </c:pt>
                <c:pt idx="48">
                  <c:v>13</c:v>
                </c:pt>
                <c:pt idx="49">
                  <c:v>13</c:v>
                </c:pt>
                <c:pt idx="50">
                  <c:v>13</c:v>
                </c:pt>
                <c:pt idx="51">
                  <c:v>10.59999847412</c:v>
                </c:pt>
                <c:pt idx="52">
                  <c:v>10.59999847412</c:v>
                </c:pt>
                <c:pt idx="53">
                  <c:v>10.59999847412</c:v>
                </c:pt>
                <c:pt idx="54">
                  <c:v>10</c:v>
                </c:pt>
                <c:pt idx="55">
                  <c:v>10</c:v>
                </c:pt>
                <c:pt idx="56">
                  <c:v>10</c:v>
                </c:pt>
                <c:pt idx="57">
                  <c:v>10.29999923706</c:v>
                </c:pt>
                <c:pt idx="58">
                  <c:v>10.29999923706</c:v>
                </c:pt>
                <c:pt idx="59">
                  <c:v>10.29999923706</c:v>
                </c:pt>
                <c:pt idx="60">
                  <c:v>10.42000007629</c:v>
                </c:pt>
                <c:pt idx="61">
                  <c:v>10.42000007629</c:v>
                </c:pt>
                <c:pt idx="62">
                  <c:v>10.42000007629</c:v>
                </c:pt>
                <c:pt idx="63">
                  <c:v>10.42000007629</c:v>
                </c:pt>
                <c:pt idx="64">
                  <c:v>10.42000007629</c:v>
                </c:pt>
                <c:pt idx="65">
                  <c:v>10.42000007629</c:v>
                </c:pt>
                <c:pt idx="66">
                  <c:v>10.43000030518</c:v>
                </c:pt>
                <c:pt idx="67">
                  <c:v>10.43000030518</c:v>
                </c:pt>
                <c:pt idx="68">
                  <c:v>10.43000030518</c:v>
                </c:pt>
                <c:pt idx="69">
                  <c:v>10.46000003815</c:v>
                </c:pt>
                <c:pt idx="70">
                  <c:v>10.46000003815</c:v>
                </c:pt>
                <c:pt idx="71">
                  <c:v>10.46000003815</c:v>
                </c:pt>
                <c:pt idx="72">
                  <c:v>11.510000228879999</c:v>
                </c:pt>
                <c:pt idx="73">
                  <c:v>11.510000228879999</c:v>
                </c:pt>
                <c:pt idx="74">
                  <c:v>11.510000228879999</c:v>
                </c:pt>
                <c:pt idx="75">
                  <c:v>11.510000228879999</c:v>
                </c:pt>
                <c:pt idx="76">
                  <c:v>11.510000228879999</c:v>
                </c:pt>
                <c:pt idx="77">
                  <c:v>11.510000228879999</c:v>
                </c:pt>
                <c:pt idx="78">
                  <c:v>11.60000038147</c:v>
                </c:pt>
                <c:pt idx="79">
                  <c:v>11.60000038147</c:v>
                </c:pt>
                <c:pt idx="80">
                  <c:v>11.60000038147</c:v>
                </c:pt>
                <c:pt idx="81">
                  <c:v>11.89999961853</c:v>
                </c:pt>
                <c:pt idx="82">
                  <c:v>11.89999961853</c:v>
                </c:pt>
                <c:pt idx="83">
                  <c:v>11.89999961853</c:v>
                </c:pt>
                <c:pt idx="84">
                  <c:v>12.5</c:v>
                </c:pt>
                <c:pt idx="85">
                  <c:v>12.5</c:v>
                </c:pt>
                <c:pt idx="86">
                  <c:v>12.5</c:v>
                </c:pt>
                <c:pt idx="87">
                  <c:v>12.44999980927</c:v>
                </c:pt>
                <c:pt idx="88">
                  <c:v>12.44999980927</c:v>
                </c:pt>
                <c:pt idx="89">
                  <c:v>12.44999980927</c:v>
                </c:pt>
                <c:pt idx="90">
                  <c:v>12.63000011444</c:v>
                </c:pt>
                <c:pt idx="91">
                  <c:v>12.63000011444</c:v>
                </c:pt>
                <c:pt idx="92">
                  <c:v>12.63000011444</c:v>
                </c:pt>
                <c:pt idx="93">
                  <c:v>12.68000030518</c:v>
                </c:pt>
                <c:pt idx="94">
                  <c:v>12.68000030518</c:v>
                </c:pt>
                <c:pt idx="95">
                  <c:v>12.68000030518</c:v>
                </c:pt>
                <c:pt idx="96">
                  <c:v>12.659999847410001</c:v>
                </c:pt>
                <c:pt idx="97">
                  <c:v>12.659999847410001</c:v>
                </c:pt>
                <c:pt idx="98">
                  <c:v>12.659999847410001</c:v>
                </c:pt>
                <c:pt idx="99">
                  <c:v>12.68000030518</c:v>
                </c:pt>
                <c:pt idx="100">
                  <c:v>12.69999980927</c:v>
                </c:pt>
                <c:pt idx="101">
                  <c:v>12.72999954224</c:v>
                </c:pt>
                <c:pt idx="102">
                  <c:v>12.77000045776</c:v>
                </c:pt>
                <c:pt idx="103">
                  <c:v>12.78999996185</c:v>
                </c:pt>
                <c:pt idx="104">
                  <c:v>12.80000019073</c:v>
                </c:pt>
                <c:pt idx="105">
                  <c:v>12.85000038147</c:v>
                </c:pt>
                <c:pt idx="106">
                  <c:v>13.19999980927</c:v>
                </c:pt>
                <c:pt idx="107">
                  <c:v>14.5</c:v>
                </c:pt>
                <c:pt idx="108">
                  <c:v>17.4500002861</c:v>
                </c:pt>
                <c:pt idx="109">
                  <c:v>20.75</c:v>
                </c:pt>
                <c:pt idx="110">
                  <c:v>22.02499961853</c:v>
                </c:pt>
                <c:pt idx="111">
                  <c:v>22.42500019073</c:v>
                </c:pt>
                <c:pt idx="112">
                  <c:v>33.5</c:v>
                </c:pt>
                <c:pt idx="113">
                  <c:v>34.67499923706</c:v>
                </c:pt>
                <c:pt idx="114">
                  <c:v>33.5</c:v>
                </c:pt>
                <c:pt idx="115">
                  <c:v>34</c:v>
                </c:pt>
                <c:pt idx="116">
                  <c:v>35.5</c:v>
                </c:pt>
                <c:pt idx="117">
                  <c:v>37.25</c:v>
                </c:pt>
                <c:pt idx="118">
                  <c:v>40.75</c:v>
                </c:pt>
                <c:pt idx="119">
                  <c:v>39.75</c:v>
                </c:pt>
                <c:pt idx="120">
                  <c:v>39</c:v>
                </c:pt>
                <c:pt idx="121">
                  <c:v>37.25</c:v>
                </c:pt>
                <c:pt idx="122">
                  <c:v>37</c:v>
                </c:pt>
                <c:pt idx="123">
                  <c:v>36.57500076294</c:v>
                </c:pt>
                <c:pt idx="124">
                  <c:v>37.04999923706</c:v>
                </c:pt>
                <c:pt idx="125">
                  <c:v>37</c:v>
                </c:pt>
                <c:pt idx="126">
                  <c:v>35.375</c:v>
                </c:pt>
                <c:pt idx="127">
                  <c:v>32.949998855590003</c:v>
                </c:pt>
                <c:pt idx="128">
                  <c:v>32.82500076294</c:v>
                </c:pt>
                <c:pt idx="129">
                  <c:v>37.350000381469997</c:v>
                </c:pt>
                <c:pt idx="130">
                  <c:v>40.29999923706</c:v>
                </c:pt>
                <c:pt idx="131">
                  <c:v>39.75</c:v>
                </c:pt>
                <c:pt idx="132">
                  <c:v>39.774999618530003</c:v>
                </c:pt>
                <c:pt idx="133">
                  <c:v>37.899999618530003</c:v>
                </c:pt>
                <c:pt idx="134">
                  <c:v>37.59999847412</c:v>
                </c:pt>
                <c:pt idx="135">
                  <c:v>36.369998931879998</c:v>
                </c:pt>
                <c:pt idx="136">
                  <c:v>34.284999847409999</c:v>
                </c:pt>
                <c:pt idx="137">
                  <c:v>32.709999084469999</c:v>
                </c:pt>
                <c:pt idx="138">
                  <c:v>33.510000228880003</c:v>
                </c:pt>
                <c:pt idx="139">
                  <c:v>33.984998703000002</c:v>
                </c:pt>
                <c:pt idx="140">
                  <c:v>33.985000610349999</c:v>
                </c:pt>
                <c:pt idx="141">
                  <c:v>34.610000610349999</c:v>
                </c:pt>
                <c:pt idx="142">
                  <c:v>35.680000305180002</c:v>
                </c:pt>
                <c:pt idx="143">
                  <c:v>35.409999847409999</c:v>
                </c:pt>
                <c:pt idx="144">
                  <c:v>35.049999491370002</c:v>
                </c:pt>
                <c:pt idx="145">
                  <c:v>32.273333485919999</c:v>
                </c:pt>
                <c:pt idx="146">
                  <c:v>30.16666653951</c:v>
                </c:pt>
                <c:pt idx="147">
                  <c:v>31.56666603088</c:v>
                </c:pt>
                <c:pt idx="148">
                  <c:v>33.043332926429997</c:v>
                </c:pt>
                <c:pt idx="149">
                  <c:v>32.766666666669998</c:v>
                </c:pt>
                <c:pt idx="150">
                  <c:v>32.916667175290002</c:v>
                </c:pt>
                <c:pt idx="151">
                  <c:v>32.416666412349997</c:v>
                </c:pt>
                <c:pt idx="152">
                  <c:v>33.466666412350001</c:v>
                </c:pt>
                <c:pt idx="153">
                  <c:v>33.783333841960001</c:v>
                </c:pt>
                <c:pt idx="154">
                  <c:v>32.849999745689999</c:v>
                </c:pt>
                <c:pt idx="155">
                  <c:v>31.46666679382</c:v>
                </c:pt>
                <c:pt idx="156">
                  <c:v>30.653333028159999</c:v>
                </c:pt>
                <c:pt idx="157">
                  <c:v>29.113333384200001</c:v>
                </c:pt>
                <c:pt idx="158">
                  <c:v>28.32000033061</c:v>
                </c:pt>
                <c:pt idx="159">
                  <c:v>29.693333307900001</c:v>
                </c:pt>
                <c:pt idx="160">
                  <c:v>29.359999974570002</c:v>
                </c:pt>
                <c:pt idx="161">
                  <c:v>29.966667175289999</c:v>
                </c:pt>
                <c:pt idx="162">
                  <c:v>30.466666539510001</c:v>
                </c:pt>
                <c:pt idx="163">
                  <c:v>30.653333028159999</c:v>
                </c:pt>
                <c:pt idx="164">
                  <c:v>30.07000033061</c:v>
                </c:pt>
                <c:pt idx="165">
                  <c:v>29.616666793819999</c:v>
                </c:pt>
                <c:pt idx="166">
                  <c:v>29.16666666667</c:v>
                </c:pt>
                <c:pt idx="167">
                  <c:v>28.813333511349999</c:v>
                </c:pt>
                <c:pt idx="168">
                  <c:v>29.043333053590001</c:v>
                </c:pt>
                <c:pt idx="169">
                  <c:v>29.203332901</c:v>
                </c:pt>
                <c:pt idx="170">
                  <c:v>29.533333460489999</c:v>
                </c:pt>
                <c:pt idx="171">
                  <c:v>29.573332468669999</c:v>
                </c:pt>
                <c:pt idx="172">
                  <c:v>29.460000356039998</c:v>
                </c:pt>
                <c:pt idx="173">
                  <c:v>29.050000508629999</c:v>
                </c:pt>
                <c:pt idx="174">
                  <c:v>27.98666699727</c:v>
                </c:pt>
                <c:pt idx="175">
                  <c:v>28.170000076289998</c:v>
                </c:pt>
                <c:pt idx="176">
                  <c:v>28.353333155310001</c:v>
                </c:pt>
                <c:pt idx="177">
                  <c:v>27.853333155310001</c:v>
                </c:pt>
                <c:pt idx="178">
                  <c:v>27.650000254310001</c:v>
                </c:pt>
                <c:pt idx="179">
                  <c:v>26.813333511349999</c:v>
                </c:pt>
                <c:pt idx="180">
                  <c:v>26.63333333333</c:v>
                </c:pt>
                <c:pt idx="181">
                  <c:v>27.6</c:v>
                </c:pt>
                <c:pt idx="182">
                  <c:v>27.85</c:v>
                </c:pt>
                <c:pt idx="183">
                  <c:v>27.8</c:v>
                </c:pt>
                <c:pt idx="184">
                  <c:v>26.65</c:v>
                </c:pt>
                <c:pt idx="185">
                  <c:v>26.36666666667</c:v>
                </c:pt>
                <c:pt idx="186">
                  <c:v>26.38333333333</c:v>
                </c:pt>
                <c:pt idx="187">
                  <c:v>27.016666666670002</c:v>
                </c:pt>
                <c:pt idx="188">
                  <c:v>26.983333333329998</c:v>
                </c:pt>
                <c:pt idx="189">
                  <c:v>27.816666666669999</c:v>
                </c:pt>
                <c:pt idx="190">
                  <c:v>28.6</c:v>
                </c:pt>
                <c:pt idx="191">
                  <c:v>26.5</c:v>
                </c:pt>
                <c:pt idx="192">
                  <c:v>24.683333333330001</c:v>
                </c:pt>
                <c:pt idx="193">
                  <c:v>15.91666666667</c:v>
                </c:pt>
                <c:pt idx="194">
                  <c:v>12.65</c:v>
                </c:pt>
                <c:pt idx="195">
                  <c:v>11.9</c:v>
                </c:pt>
                <c:pt idx="196">
                  <c:v>13.716666666669999</c:v>
                </c:pt>
                <c:pt idx="197">
                  <c:v>11.85</c:v>
                </c:pt>
                <c:pt idx="198">
                  <c:v>9.6166666666699996</c:v>
                </c:pt>
                <c:pt idx="199">
                  <c:v>13.7</c:v>
                </c:pt>
                <c:pt idx="200">
                  <c:v>14.08333333333</c:v>
                </c:pt>
                <c:pt idx="201">
                  <c:v>13.95</c:v>
                </c:pt>
                <c:pt idx="202">
                  <c:v>14.45</c:v>
                </c:pt>
                <c:pt idx="203">
                  <c:v>15.683333333329999</c:v>
                </c:pt>
                <c:pt idx="204">
                  <c:v>18.066666666669999</c:v>
                </c:pt>
                <c:pt idx="205">
                  <c:v>17.25</c:v>
                </c:pt>
                <c:pt idx="206">
                  <c:v>17.75</c:v>
                </c:pt>
                <c:pt idx="207">
                  <c:v>17.899999999999999</c:v>
                </c:pt>
                <c:pt idx="208">
                  <c:v>18.399999999999999</c:v>
                </c:pt>
                <c:pt idx="209">
                  <c:v>18.716666666670001</c:v>
                </c:pt>
                <c:pt idx="210">
                  <c:v>19.61666666667</c:v>
                </c:pt>
                <c:pt idx="211">
                  <c:v>18.816666666669999</c:v>
                </c:pt>
                <c:pt idx="212">
                  <c:v>18.283333333329999</c:v>
                </c:pt>
                <c:pt idx="213">
                  <c:v>18.566666666669999</c:v>
                </c:pt>
                <c:pt idx="214">
                  <c:v>17.75</c:v>
                </c:pt>
                <c:pt idx="215">
                  <c:v>16.63333333333</c:v>
                </c:pt>
                <c:pt idx="216">
                  <c:v>16.466666666670001</c:v>
                </c:pt>
                <c:pt idx="217">
                  <c:v>15.85</c:v>
                </c:pt>
                <c:pt idx="218">
                  <c:v>14.783333333330001</c:v>
                </c:pt>
                <c:pt idx="219">
                  <c:v>16.466666666670001</c:v>
                </c:pt>
                <c:pt idx="220">
                  <c:v>16.216666666670001</c:v>
                </c:pt>
                <c:pt idx="221">
                  <c:v>15.33333333333</c:v>
                </c:pt>
                <c:pt idx="222">
                  <c:v>14.48333333333</c:v>
                </c:pt>
                <c:pt idx="223">
                  <c:v>14.55</c:v>
                </c:pt>
                <c:pt idx="224">
                  <c:v>13.1</c:v>
                </c:pt>
                <c:pt idx="225">
                  <c:v>12.183333333329999</c:v>
                </c:pt>
                <c:pt idx="226">
                  <c:v>12.533333333330001</c:v>
                </c:pt>
                <c:pt idx="227">
                  <c:v>14.65</c:v>
                </c:pt>
                <c:pt idx="228">
                  <c:v>16.483333333329998</c:v>
                </c:pt>
                <c:pt idx="229">
                  <c:v>16.350000000000001</c:v>
                </c:pt>
                <c:pt idx="230">
                  <c:v>18.033333333329999</c:v>
                </c:pt>
                <c:pt idx="231">
                  <c:v>19.2</c:v>
                </c:pt>
                <c:pt idx="232">
                  <c:v>18.016666666670002</c:v>
                </c:pt>
                <c:pt idx="233">
                  <c:v>17.63333333333</c:v>
                </c:pt>
                <c:pt idx="234">
                  <c:v>17.66666666667</c:v>
                </c:pt>
                <c:pt idx="235">
                  <c:v>16.88333333333</c:v>
                </c:pt>
                <c:pt idx="236">
                  <c:v>17.66666666667</c:v>
                </c:pt>
                <c:pt idx="237">
                  <c:v>18.41666666667</c:v>
                </c:pt>
                <c:pt idx="238">
                  <c:v>18.36666666667</c:v>
                </c:pt>
                <c:pt idx="239">
                  <c:v>19.350000000000001</c:v>
                </c:pt>
                <c:pt idx="240">
                  <c:v>20.350000000000001</c:v>
                </c:pt>
                <c:pt idx="241">
                  <c:v>19.600000000000001</c:v>
                </c:pt>
                <c:pt idx="242">
                  <c:v>18.216666666670001</c:v>
                </c:pt>
                <c:pt idx="243">
                  <c:v>16.55</c:v>
                </c:pt>
                <c:pt idx="244">
                  <c:v>16.58333333333</c:v>
                </c:pt>
                <c:pt idx="245">
                  <c:v>15.26666666667</c:v>
                </c:pt>
                <c:pt idx="246">
                  <c:v>17.16666666667</c:v>
                </c:pt>
                <c:pt idx="247">
                  <c:v>26.4</c:v>
                </c:pt>
                <c:pt idx="248">
                  <c:v>32.700000000000003</c:v>
                </c:pt>
                <c:pt idx="249">
                  <c:v>34.5</c:v>
                </c:pt>
                <c:pt idx="250">
                  <c:v>31.08333333333</c:v>
                </c:pt>
                <c:pt idx="251">
                  <c:v>26.13333333333</c:v>
                </c:pt>
                <c:pt idx="252">
                  <c:v>22.58333333333</c:v>
                </c:pt>
                <c:pt idx="253">
                  <c:v>18.13333333333</c:v>
                </c:pt>
                <c:pt idx="254">
                  <c:v>18.066666666669999</c:v>
                </c:pt>
                <c:pt idx="255">
                  <c:v>18.466666666670001</c:v>
                </c:pt>
                <c:pt idx="256">
                  <c:v>18.816666666669999</c:v>
                </c:pt>
                <c:pt idx="257">
                  <c:v>17.933333333330001</c:v>
                </c:pt>
                <c:pt idx="258">
                  <c:v>19.05</c:v>
                </c:pt>
                <c:pt idx="259">
                  <c:v>19.36666666667</c:v>
                </c:pt>
                <c:pt idx="260">
                  <c:v>20.05</c:v>
                </c:pt>
                <c:pt idx="261">
                  <c:v>21.466666666670001</c:v>
                </c:pt>
                <c:pt idx="262">
                  <c:v>20.766666666670002</c:v>
                </c:pt>
                <c:pt idx="263">
                  <c:v>17.75</c:v>
                </c:pt>
                <c:pt idx="264">
                  <c:v>17.38333333333</c:v>
                </c:pt>
                <c:pt idx="265">
                  <c:v>17.61666666667</c:v>
                </c:pt>
                <c:pt idx="266">
                  <c:v>17.45</c:v>
                </c:pt>
                <c:pt idx="267">
                  <c:v>18.63333333333</c:v>
                </c:pt>
                <c:pt idx="268">
                  <c:v>19.5</c:v>
                </c:pt>
                <c:pt idx="269">
                  <c:v>20.83333333333</c:v>
                </c:pt>
                <c:pt idx="270">
                  <c:v>20.16666666667</c:v>
                </c:pt>
                <c:pt idx="271">
                  <c:v>19.61666666667</c:v>
                </c:pt>
                <c:pt idx="272">
                  <c:v>20.149999999999999</c:v>
                </c:pt>
                <c:pt idx="273">
                  <c:v>20.08333333333</c:v>
                </c:pt>
                <c:pt idx="274">
                  <c:v>18.88333333333</c:v>
                </c:pt>
                <c:pt idx="275">
                  <c:v>17.933333333330001</c:v>
                </c:pt>
                <c:pt idx="276">
                  <c:v>17.216666666670001</c:v>
                </c:pt>
                <c:pt idx="277">
                  <c:v>18.16666666667</c:v>
                </c:pt>
                <c:pt idx="278">
                  <c:v>18.466666666670001</c:v>
                </c:pt>
                <c:pt idx="279">
                  <c:v>18.433333333330001</c:v>
                </c:pt>
                <c:pt idx="280">
                  <c:v>18.16666666667</c:v>
                </c:pt>
                <c:pt idx="281">
                  <c:v>17.466666666670001</c:v>
                </c:pt>
                <c:pt idx="282">
                  <c:v>16.316666666669999</c:v>
                </c:pt>
                <c:pt idx="283">
                  <c:v>16.483333333329998</c:v>
                </c:pt>
                <c:pt idx="284">
                  <c:v>15.9</c:v>
                </c:pt>
                <c:pt idx="285">
                  <c:v>16.516666666670002</c:v>
                </c:pt>
                <c:pt idx="286">
                  <c:v>15.2</c:v>
                </c:pt>
                <c:pt idx="287">
                  <c:v>13.76666666667</c:v>
                </c:pt>
                <c:pt idx="288">
                  <c:v>14.13333333333</c:v>
                </c:pt>
                <c:pt idx="289">
                  <c:v>13.783333333330001</c:v>
                </c:pt>
                <c:pt idx="290">
                  <c:v>13.61666666667</c:v>
                </c:pt>
                <c:pt idx="291">
                  <c:v>15.08333333333</c:v>
                </c:pt>
                <c:pt idx="292">
                  <c:v>16.283333333329999</c:v>
                </c:pt>
                <c:pt idx="293">
                  <c:v>17.16666666667</c:v>
                </c:pt>
                <c:pt idx="294">
                  <c:v>17.88333333333</c:v>
                </c:pt>
                <c:pt idx="295">
                  <c:v>17</c:v>
                </c:pt>
                <c:pt idx="296">
                  <c:v>16.2</c:v>
                </c:pt>
                <c:pt idx="297">
                  <c:v>16.466666666670001</c:v>
                </c:pt>
                <c:pt idx="298">
                  <c:v>17.08333333333</c:v>
                </c:pt>
                <c:pt idx="299">
                  <c:v>15.94</c:v>
                </c:pt>
                <c:pt idx="300">
                  <c:v>16.899999999999999</c:v>
                </c:pt>
                <c:pt idx="301">
                  <c:v>17.41666666667</c:v>
                </c:pt>
                <c:pt idx="302">
                  <c:v>17.34666666667</c:v>
                </c:pt>
                <c:pt idx="303">
                  <c:v>18.646666666670001</c:v>
                </c:pt>
                <c:pt idx="304">
                  <c:v>18.42333333333</c:v>
                </c:pt>
                <c:pt idx="305">
                  <c:v>17.363333333330001</c:v>
                </c:pt>
                <c:pt idx="306">
                  <c:v>16.08333333333</c:v>
                </c:pt>
                <c:pt idx="307">
                  <c:v>16.466666666670001</c:v>
                </c:pt>
                <c:pt idx="308">
                  <c:v>16.82</c:v>
                </c:pt>
                <c:pt idx="309">
                  <c:v>16.123333333329999</c:v>
                </c:pt>
                <c:pt idx="310">
                  <c:v>16.74333333333</c:v>
                </c:pt>
                <c:pt idx="311">
                  <c:v>17.86666666667</c:v>
                </c:pt>
                <c:pt idx="312">
                  <c:v>17.8</c:v>
                </c:pt>
                <c:pt idx="313">
                  <c:v>17.696666666670001</c:v>
                </c:pt>
                <c:pt idx="314">
                  <c:v>19.399999999999999</c:v>
                </c:pt>
                <c:pt idx="315">
                  <c:v>20.66</c:v>
                </c:pt>
                <c:pt idx="316">
                  <c:v>19.06333333333</c:v>
                </c:pt>
                <c:pt idx="317">
                  <c:v>18.513333333329999</c:v>
                </c:pt>
                <c:pt idx="318">
                  <c:v>19.586666666669998</c:v>
                </c:pt>
                <c:pt idx="319">
                  <c:v>20.440000000000001</c:v>
                </c:pt>
                <c:pt idx="320">
                  <c:v>22.25666666667</c:v>
                </c:pt>
                <c:pt idx="321">
                  <c:v>23.61</c:v>
                </c:pt>
                <c:pt idx="322">
                  <c:v>22.39</c:v>
                </c:pt>
                <c:pt idx="323">
                  <c:v>23.623333333329999</c:v>
                </c:pt>
                <c:pt idx="324">
                  <c:v>23.226666666669999</c:v>
                </c:pt>
                <c:pt idx="325">
                  <c:v>20.420000000000002</c:v>
                </c:pt>
                <c:pt idx="326">
                  <c:v>19.329999999999998</c:v>
                </c:pt>
                <c:pt idx="327">
                  <c:v>17.88</c:v>
                </c:pt>
                <c:pt idx="328">
                  <c:v>19.367433333329998</c:v>
                </c:pt>
                <c:pt idx="329">
                  <c:v>17.920000000000002</c:v>
                </c:pt>
                <c:pt idx="330">
                  <c:v>18.329999999999998</c:v>
                </c:pt>
                <c:pt idx="331">
                  <c:v>18.7</c:v>
                </c:pt>
                <c:pt idx="332">
                  <c:v>18.661746031749999</c:v>
                </c:pt>
                <c:pt idx="333">
                  <c:v>20.04</c:v>
                </c:pt>
                <c:pt idx="334">
                  <c:v>19.086666666669998</c:v>
                </c:pt>
                <c:pt idx="335">
                  <c:v>17.09</c:v>
                </c:pt>
                <c:pt idx="336">
                  <c:v>15</c:v>
                </c:pt>
                <c:pt idx="337">
                  <c:v>14.1</c:v>
                </c:pt>
                <c:pt idx="338">
                  <c:v>13.123333333330001</c:v>
                </c:pt>
                <c:pt idx="339">
                  <c:v>13.5</c:v>
                </c:pt>
                <c:pt idx="340">
                  <c:v>14.02666666667</c:v>
                </c:pt>
                <c:pt idx="341">
                  <c:v>12.478999999999999</c:v>
                </c:pt>
                <c:pt idx="342">
                  <c:v>12.69966666667</c:v>
                </c:pt>
                <c:pt idx="343">
                  <c:v>12.487966666669999</c:v>
                </c:pt>
                <c:pt idx="344">
                  <c:v>13.80333333333</c:v>
                </c:pt>
                <c:pt idx="345">
                  <c:v>13.263333333329999</c:v>
                </c:pt>
                <c:pt idx="346">
                  <c:v>11.88</c:v>
                </c:pt>
                <c:pt idx="347">
                  <c:v>10.41</c:v>
                </c:pt>
                <c:pt idx="348">
                  <c:v>11.443333333329999</c:v>
                </c:pt>
                <c:pt idx="349">
                  <c:v>10.75333333333</c:v>
                </c:pt>
                <c:pt idx="350">
                  <c:v>13.16666666667</c:v>
                </c:pt>
                <c:pt idx="351">
                  <c:v>15.86666666667</c:v>
                </c:pt>
                <c:pt idx="352">
                  <c:v>16.06333333333</c:v>
                </c:pt>
                <c:pt idx="353">
                  <c:v>16.393333333329998</c:v>
                </c:pt>
                <c:pt idx="354">
                  <c:v>18.986666666670001</c:v>
                </c:pt>
                <c:pt idx="355">
                  <c:v>20.27</c:v>
                </c:pt>
                <c:pt idx="356">
                  <c:v>22.7</c:v>
                </c:pt>
                <c:pt idx="357">
                  <c:v>21.95</c:v>
                </c:pt>
                <c:pt idx="358">
                  <c:v>24.163333333330002</c:v>
                </c:pt>
                <c:pt idx="359">
                  <c:v>25.1</c:v>
                </c:pt>
                <c:pt idx="360">
                  <c:v>25.31</c:v>
                </c:pt>
                <c:pt idx="361">
                  <c:v>27.220966666670002</c:v>
                </c:pt>
                <c:pt idx="362">
                  <c:v>27.49</c:v>
                </c:pt>
                <c:pt idx="363">
                  <c:v>23.47</c:v>
                </c:pt>
                <c:pt idx="364">
                  <c:v>27.18666666667</c:v>
                </c:pt>
                <c:pt idx="365">
                  <c:v>29.620766666670001</c:v>
                </c:pt>
                <c:pt idx="366">
                  <c:v>28.176666666669998</c:v>
                </c:pt>
                <c:pt idx="367">
                  <c:v>29.262899999999998</c:v>
                </c:pt>
                <c:pt idx="368">
                  <c:v>32.082833333330001</c:v>
                </c:pt>
                <c:pt idx="369">
                  <c:v>31.40016666667</c:v>
                </c:pt>
                <c:pt idx="370">
                  <c:v>32.331000000000003</c:v>
                </c:pt>
                <c:pt idx="371">
                  <c:v>25.204666666670001</c:v>
                </c:pt>
                <c:pt idx="372">
                  <c:v>25.957272727269999</c:v>
                </c:pt>
                <c:pt idx="373">
                  <c:v>27.23883333333</c:v>
                </c:pt>
                <c:pt idx="374">
                  <c:v>25.02257575758</c:v>
                </c:pt>
                <c:pt idx="375">
                  <c:v>25.718</c:v>
                </c:pt>
                <c:pt idx="376">
                  <c:v>27.546825396829998</c:v>
                </c:pt>
                <c:pt idx="377">
                  <c:v>26.966031746030001</c:v>
                </c:pt>
                <c:pt idx="378">
                  <c:v>24.80367965368</c:v>
                </c:pt>
                <c:pt idx="379">
                  <c:v>25.821159420290002</c:v>
                </c:pt>
                <c:pt idx="380">
                  <c:v>25.207666666670001</c:v>
                </c:pt>
                <c:pt idx="381">
                  <c:v>20.731884057969999</c:v>
                </c:pt>
                <c:pt idx="382">
                  <c:v>18.688181818179999</c:v>
                </c:pt>
                <c:pt idx="383">
                  <c:v>18.51978947368</c:v>
                </c:pt>
                <c:pt idx="384">
                  <c:v>19.154812409809999</c:v>
                </c:pt>
                <c:pt idx="385">
                  <c:v>19.97523684211</c:v>
                </c:pt>
                <c:pt idx="386">
                  <c:v>23.64066666667</c:v>
                </c:pt>
                <c:pt idx="387">
                  <c:v>25.434242424240001</c:v>
                </c:pt>
                <c:pt idx="388">
                  <c:v>25.672345191040002</c:v>
                </c:pt>
                <c:pt idx="389">
                  <c:v>24.48805750487</c:v>
                </c:pt>
                <c:pt idx="390">
                  <c:v>25.754748102139999</c:v>
                </c:pt>
                <c:pt idx="391">
                  <c:v>26.775800865800001</c:v>
                </c:pt>
                <c:pt idx="392">
                  <c:v>28.280793650789999</c:v>
                </c:pt>
                <c:pt idx="393">
                  <c:v>27.526811594200002</c:v>
                </c:pt>
                <c:pt idx="394">
                  <c:v>24.542481203009999</c:v>
                </c:pt>
                <c:pt idx="395">
                  <c:v>27.88698412698</c:v>
                </c:pt>
                <c:pt idx="396">
                  <c:v>30.750317460320002</c:v>
                </c:pt>
                <c:pt idx="397">
                  <c:v>32.883377192979999</c:v>
                </c:pt>
                <c:pt idx="398">
                  <c:v>30.359206349210002</c:v>
                </c:pt>
                <c:pt idx="399">
                  <c:v>25.555968253970001</c:v>
                </c:pt>
                <c:pt idx="400">
                  <c:v>26.064912698410001</c:v>
                </c:pt>
                <c:pt idx="401">
                  <c:v>27.91714285714</c:v>
                </c:pt>
                <c:pt idx="402">
                  <c:v>28.591587615280002</c:v>
                </c:pt>
                <c:pt idx="403">
                  <c:v>29.675555555559999</c:v>
                </c:pt>
                <c:pt idx="404">
                  <c:v>26.882330447329998</c:v>
                </c:pt>
                <c:pt idx="405">
                  <c:v>29.014492753620001</c:v>
                </c:pt>
                <c:pt idx="406">
                  <c:v>29.122740740739999</c:v>
                </c:pt>
                <c:pt idx="407">
                  <c:v>29.969206349210001</c:v>
                </c:pt>
                <c:pt idx="408">
                  <c:v>31.367719298250002</c:v>
                </c:pt>
                <c:pt idx="409">
                  <c:v>31.331333333330001</c:v>
                </c:pt>
                <c:pt idx="410">
                  <c:v>33.665072463770002</c:v>
                </c:pt>
                <c:pt idx="411">
                  <c:v>33.711392496389998</c:v>
                </c:pt>
                <c:pt idx="412">
                  <c:v>37.557898913949998</c:v>
                </c:pt>
                <c:pt idx="413">
                  <c:v>35.542741702740003</c:v>
                </c:pt>
                <c:pt idx="414">
                  <c:v>37.891998557000001</c:v>
                </c:pt>
                <c:pt idx="415">
                  <c:v>42.084069264070003</c:v>
                </c:pt>
                <c:pt idx="416">
                  <c:v>41.596825396829999</c:v>
                </c:pt>
                <c:pt idx="417">
                  <c:v>46.881111111110002</c:v>
                </c:pt>
                <c:pt idx="418">
                  <c:v>42.12554545455</c:v>
                </c:pt>
                <c:pt idx="419">
                  <c:v>39.044944444439999</c:v>
                </c:pt>
                <c:pt idx="420">
                  <c:v>42.97227777778</c:v>
                </c:pt>
                <c:pt idx="421">
                  <c:v>44.818210526320001</c:v>
                </c:pt>
                <c:pt idx="422">
                  <c:v>50.942878787879998</c:v>
                </c:pt>
                <c:pt idx="423">
                  <c:v>50.640476190480001</c:v>
                </c:pt>
                <c:pt idx="424">
                  <c:v>47.826572871570001</c:v>
                </c:pt>
                <c:pt idx="425">
                  <c:v>53.890303030299997</c:v>
                </c:pt>
                <c:pt idx="426">
                  <c:v>56.36580952381</c:v>
                </c:pt>
                <c:pt idx="427">
                  <c:v>61.890520421609999</c:v>
                </c:pt>
                <c:pt idx="428">
                  <c:v>61.687698412700001</c:v>
                </c:pt>
                <c:pt idx="429">
                  <c:v>58.18507936508</c:v>
                </c:pt>
                <c:pt idx="430">
                  <c:v>55.042825396829997</c:v>
                </c:pt>
                <c:pt idx="431">
                  <c:v>56.429642857140003</c:v>
                </c:pt>
                <c:pt idx="432">
                  <c:v>62.45703968254</c:v>
                </c:pt>
                <c:pt idx="433">
                  <c:v>59.704921052629999</c:v>
                </c:pt>
                <c:pt idx="434">
                  <c:v>60.929275362319999</c:v>
                </c:pt>
                <c:pt idx="435">
                  <c:v>67.970575048729998</c:v>
                </c:pt>
                <c:pt idx="436">
                  <c:v>68.675948616599996</c:v>
                </c:pt>
                <c:pt idx="437">
                  <c:v>68.290151515150001</c:v>
                </c:pt>
                <c:pt idx="438">
                  <c:v>72.450133667499998</c:v>
                </c:pt>
                <c:pt idx="439">
                  <c:v>71.811884057970005</c:v>
                </c:pt>
                <c:pt idx="440">
                  <c:v>62.121253968250002</c:v>
                </c:pt>
                <c:pt idx="441">
                  <c:v>57.910468975470003</c:v>
                </c:pt>
                <c:pt idx="442">
                  <c:v>58.143045454549998</c:v>
                </c:pt>
                <c:pt idx="443">
                  <c:v>60.994412280699997</c:v>
                </c:pt>
                <c:pt idx="444">
                  <c:v>53.516969696970001</c:v>
                </c:pt>
                <c:pt idx="445">
                  <c:v>57.5625</c:v>
                </c:pt>
                <c:pt idx="446">
                  <c:v>60.59984848485</c:v>
                </c:pt>
                <c:pt idx="447">
                  <c:v>65.057640350880007</c:v>
                </c:pt>
                <c:pt idx="448">
                  <c:v>65.157259552040003</c:v>
                </c:pt>
                <c:pt idx="449">
                  <c:v>68.188095238100004</c:v>
                </c:pt>
                <c:pt idx="450">
                  <c:v>73.601695526699999</c:v>
                </c:pt>
                <c:pt idx="451">
                  <c:v>70.126811594200007</c:v>
                </c:pt>
                <c:pt idx="452">
                  <c:v>76.76243859649</c:v>
                </c:pt>
                <c:pt idx="453">
                  <c:v>81.967246376809996</c:v>
                </c:pt>
                <c:pt idx="454">
                  <c:v>91.338261183260002</c:v>
                </c:pt>
                <c:pt idx="455">
                  <c:v>89.519941520469999</c:v>
                </c:pt>
                <c:pt idx="456">
                  <c:v>90.689935064940002</c:v>
                </c:pt>
                <c:pt idx="457">
                  <c:v>93.387590643270002</c:v>
                </c:pt>
                <c:pt idx="458">
                  <c:v>101.84283333333001</c:v>
                </c:pt>
                <c:pt idx="459">
                  <c:v>108.75818181818001</c:v>
                </c:pt>
                <c:pt idx="460">
                  <c:v>122.63260894661001</c:v>
                </c:pt>
                <c:pt idx="461">
                  <c:v>131.52111111111</c:v>
                </c:pt>
                <c:pt idx="462">
                  <c:v>132.82518445323001</c:v>
                </c:pt>
                <c:pt idx="463">
                  <c:v>114.56682539683</c:v>
                </c:pt>
                <c:pt idx="464">
                  <c:v>99.656767676770002</c:v>
                </c:pt>
                <c:pt idx="465">
                  <c:v>72.692753623190001</c:v>
                </c:pt>
                <c:pt idx="466">
                  <c:v>53.972728070179997</c:v>
                </c:pt>
                <c:pt idx="467">
                  <c:v>41.338924963929998</c:v>
                </c:pt>
                <c:pt idx="468">
                  <c:v>43.855214285709998</c:v>
                </c:pt>
                <c:pt idx="469">
                  <c:v>41.843675438600002</c:v>
                </c:pt>
                <c:pt idx="470">
                  <c:v>46.645303030299999</c:v>
                </c:pt>
                <c:pt idx="471">
                  <c:v>50.278095238100001</c:v>
                </c:pt>
                <c:pt idx="472">
                  <c:v>58.153888888890002</c:v>
                </c:pt>
                <c:pt idx="473">
                  <c:v>69.149696969700003</c:v>
                </c:pt>
                <c:pt idx="474">
                  <c:v>64.666673254279999</c:v>
                </c:pt>
                <c:pt idx="475">
                  <c:v>71.629682539680005</c:v>
                </c:pt>
                <c:pt idx="476">
                  <c:v>68.346111111110005</c:v>
                </c:pt>
                <c:pt idx="477">
                  <c:v>74.080606060609995</c:v>
                </c:pt>
                <c:pt idx="478">
                  <c:v>77.552301587299993</c:v>
                </c:pt>
                <c:pt idx="479">
                  <c:v>74.881818181819995</c:v>
                </c:pt>
                <c:pt idx="480">
                  <c:v>77.121087719299993</c:v>
                </c:pt>
                <c:pt idx="481">
                  <c:v>74.763015594539993</c:v>
                </c:pt>
                <c:pt idx="482">
                  <c:v>79.297681159419994</c:v>
                </c:pt>
                <c:pt idx="483">
                  <c:v>84.182857142860001</c:v>
                </c:pt>
                <c:pt idx="484">
                  <c:v>75.61831746032</c:v>
                </c:pt>
                <c:pt idx="485">
                  <c:v>74.724999999999994</c:v>
                </c:pt>
                <c:pt idx="486">
                  <c:v>74.579401154400003</c:v>
                </c:pt>
                <c:pt idx="487">
                  <c:v>75.826269841270005</c:v>
                </c:pt>
                <c:pt idx="488">
                  <c:v>76.116240981239997</c:v>
                </c:pt>
                <c:pt idx="489">
                  <c:v>81.719365079369993</c:v>
                </c:pt>
                <c:pt idx="490">
                  <c:v>84.53406349206</c:v>
                </c:pt>
                <c:pt idx="491">
                  <c:v>90.005961791830003</c:v>
                </c:pt>
                <c:pt idx="492">
                  <c:v>92.690595238100002</c:v>
                </c:pt>
                <c:pt idx="493">
                  <c:v>97.914192007799997</c:v>
                </c:pt>
                <c:pt idx="494">
                  <c:v>108.64521739129999</c:v>
                </c:pt>
                <c:pt idx="495">
                  <c:v>116.24316666667001</c:v>
                </c:pt>
                <c:pt idx="496">
                  <c:v>108.06851298701</c:v>
                </c:pt>
                <c:pt idx="497">
                  <c:v>105.84545454546</c:v>
                </c:pt>
                <c:pt idx="498">
                  <c:v>107.91661111111</c:v>
                </c:pt>
                <c:pt idx="499">
                  <c:v>100.48642512076999</c:v>
                </c:pt>
                <c:pt idx="500">
                  <c:v>100.81935064935</c:v>
                </c:pt>
                <c:pt idx="501">
                  <c:v>99.847753968250004</c:v>
                </c:pt>
                <c:pt idx="502">
                  <c:v>105.40501443001</c:v>
                </c:pt>
                <c:pt idx="503">
                  <c:v>104.23047619048</c:v>
                </c:pt>
                <c:pt idx="504">
                  <c:v>107.07457226399001</c:v>
                </c:pt>
                <c:pt idx="505">
                  <c:v>112.68752380952</c:v>
                </c:pt>
                <c:pt idx="506">
                  <c:v>117.785</c:v>
                </c:pt>
                <c:pt idx="507">
                  <c:v>113.66549999999999</c:v>
                </c:pt>
                <c:pt idx="508">
                  <c:v>104.0860342556</c:v>
                </c:pt>
                <c:pt idx="509">
                  <c:v>90.728253968250002</c:v>
                </c:pt>
                <c:pt idx="510">
                  <c:v>96.754112554109994</c:v>
                </c:pt>
                <c:pt idx="511">
                  <c:v>105.27363699103</c:v>
                </c:pt>
                <c:pt idx="512">
                  <c:v>106.28496491228</c:v>
                </c:pt>
                <c:pt idx="513">
                  <c:v>103.40786561265</c:v>
                </c:pt>
                <c:pt idx="514">
                  <c:v>101.17441558442</c:v>
                </c:pt>
                <c:pt idx="515">
                  <c:v>101.19366666667</c:v>
                </c:pt>
                <c:pt idx="516">
                  <c:v>105.10021645022</c:v>
                </c:pt>
                <c:pt idx="517">
                  <c:v>107.63743567252</c:v>
                </c:pt>
                <c:pt idx="518">
                  <c:v>102.52249999999999</c:v>
                </c:pt>
                <c:pt idx="519">
                  <c:v>98.851969696970002</c:v>
                </c:pt>
                <c:pt idx="520">
                  <c:v>99.366633414890003</c:v>
                </c:pt>
                <c:pt idx="521">
                  <c:v>99.742666666670004</c:v>
                </c:pt>
                <c:pt idx="522">
                  <c:v>105.25790513834001</c:v>
                </c:pt>
                <c:pt idx="523">
                  <c:v>108.15763636363999</c:v>
                </c:pt>
                <c:pt idx="524">
                  <c:v>108.75773015873</c:v>
                </c:pt>
                <c:pt idx="525">
                  <c:v>105.42713438734999</c:v>
                </c:pt>
                <c:pt idx="526">
                  <c:v>102.62649122806999</c:v>
                </c:pt>
                <c:pt idx="527">
                  <c:v>105.48165079365</c:v>
                </c:pt>
                <c:pt idx="528">
                  <c:v>102.09666666667</c:v>
                </c:pt>
                <c:pt idx="529">
                  <c:v>104.82666666666999</c:v>
                </c:pt>
                <c:pt idx="530">
                  <c:v>104.04</c:v>
                </c:pt>
                <c:pt idx="531">
                  <c:v>104.86666666667</c:v>
                </c:pt>
                <c:pt idx="532">
                  <c:v>105.71333333333</c:v>
                </c:pt>
                <c:pt idx="533">
                  <c:v>108.37333333333</c:v>
                </c:pt>
                <c:pt idx="534">
                  <c:v>105.22666666667</c:v>
                </c:pt>
                <c:pt idx="535">
                  <c:v>100.05</c:v>
                </c:pt>
                <c:pt idx="536">
                  <c:v>95.85</c:v>
                </c:pt>
                <c:pt idx="537">
                  <c:v>86.08</c:v>
                </c:pt>
                <c:pt idx="538">
                  <c:v>76.99333333333</c:v>
                </c:pt>
                <c:pt idx="539">
                  <c:v>60.703333333330001</c:v>
                </c:pt>
                <c:pt idx="540">
                  <c:v>47.106666666670002</c:v>
                </c:pt>
                <c:pt idx="541">
                  <c:v>54.79</c:v>
                </c:pt>
                <c:pt idx="542">
                  <c:v>52.82666666667</c:v>
                </c:pt>
                <c:pt idx="543">
                  <c:v>57.543333333329997</c:v>
                </c:pt>
                <c:pt idx="544">
                  <c:v>62.50666666667</c:v>
                </c:pt>
                <c:pt idx="545">
                  <c:v>61.306666666669997</c:v>
                </c:pt>
                <c:pt idx="546">
                  <c:v>54.34</c:v>
                </c:pt>
                <c:pt idx="547">
                  <c:v>45.69</c:v>
                </c:pt>
                <c:pt idx="548">
                  <c:v>46.28</c:v>
                </c:pt>
                <c:pt idx="549">
                  <c:v>46.956666666670003</c:v>
                </c:pt>
                <c:pt idx="550">
                  <c:v>43.113333333329997</c:v>
                </c:pt>
                <c:pt idx="551">
                  <c:v>36.573333333329998</c:v>
                </c:pt>
                <c:pt idx="552">
                  <c:v>29.78</c:v>
                </c:pt>
                <c:pt idx="553">
                  <c:v>31.03</c:v>
                </c:pt>
                <c:pt idx="554">
                  <c:v>37.340000000000003</c:v>
                </c:pt>
                <c:pt idx="555">
                  <c:v>40.75</c:v>
                </c:pt>
                <c:pt idx="556">
                  <c:v>45.93666666667</c:v>
                </c:pt>
                <c:pt idx="557">
                  <c:v>47.68666666667</c:v>
                </c:pt>
                <c:pt idx="558">
                  <c:v>44.126666666669998</c:v>
                </c:pt>
                <c:pt idx="559">
                  <c:v>44.876666666669998</c:v>
                </c:pt>
                <c:pt idx="560">
                  <c:v>45.043333333329997</c:v>
                </c:pt>
                <c:pt idx="561">
                  <c:v>49.293333333329997</c:v>
                </c:pt>
                <c:pt idx="562">
                  <c:v>45.26</c:v>
                </c:pt>
                <c:pt idx="563">
                  <c:v>52.62</c:v>
                </c:pt>
                <c:pt idx="564">
                  <c:v>53.59</c:v>
                </c:pt>
                <c:pt idx="565">
                  <c:v>54.353333333329999</c:v>
                </c:pt>
                <c:pt idx="566">
                  <c:v>50.903333333330004</c:v>
                </c:pt>
                <c:pt idx="567">
                  <c:v>52.163333333330002</c:v>
                </c:pt>
                <c:pt idx="568">
                  <c:v>49.893333333329998</c:v>
                </c:pt>
                <c:pt idx="569">
                  <c:v>46.166666666669997</c:v>
                </c:pt>
                <c:pt idx="570">
                  <c:v>47.656666666669999</c:v>
                </c:pt>
                <c:pt idx="571">
                  <c:v>49.943333333330003</c:v>
                </c:pt>
                <c:pt idx="572">
                  <c:v>52.95</c:v>
                </c:pt>
                <c:pt idx="573">
                  <c:v>54.92</c:v>
                </c:pt>
                <c:pt idx="574">
                  <c:v>59.933333333329998</c:v>
                </c:pt>
                <c:pt idx="575">
                  <c:v>61.18666666667</c:v>
                </c:pt>
                <c:pt idx="576">
                  <c:v>66.226666666669999</c:v>
                </c:pt>
                <c:pt idx="577">
                  <c:v>63.46</c:v>
                </c:pt>
                <c:pt idx="578">
                  <c:v>64.166666666669997</c:v>
                </c:pt>
                <c:pt idx="579">
                  <c:v>68.793333333329997</c:v>
                </c:pt>
                <c:pt idx="580">
                  <c:v>73.430000000000007</c:v>
                </c:pt>
                <c:pt idx="581">
                  <c:v>71.976666666669999</c:v>
                </c:pt>
                <c:pt idx="582">
                  <c:v>72.666666666669997</c:v>
                </c:pt>
                <c:pt idx="583">
                  <c:v>71.083333333330003</c:v>
                </c:pt>
                <c:pt idx="584">
                  <c:v>75.363333333330004</c:v>
                </c:pt>
                <c:pt idx="585">
                  <c:v>76.726666666669999</c:v>
                </c:pt>
                <c:pt idx="586">
                  <c:v>62.316666666670002</c:v>
                </c:pt>
                <c:pt idx="587">
                  <c:v>53.96</c:v>
                </c:pt>
                <c:pt idx="588">
                  <c:v>56.583333333330003</c:v>
                </c:pt>
                <c:pt idx="589">
                  <c:v>61.13333333333</c:v>
                </c:pt>
                <c:pt idx="590">
                  <c:v>63.786666666670001</c:v>
                </c:pt>
                <c:pt idx="591">
                  <c:v>68.576666666669993</c:v>
                </c:pt>
                <c:pt idx="592">
                  <c:v>66.833333333330003</c:v>
                </c:pt>
                <c:pt idx="593">
                  <c:v>59.76</c:v>
                </c:pt>
                <c:pt idx="594">
                  <c:v>61.476666666669999</c:v>
                </c:pt>
                <c:pt idx="595">
                  <c:v>57.67</c:v>
                </c:pt>
                <c:pt idx="596">
                  <c:v>60.04</c:v>
                </c:pt>
                <c:pt idx="597">
                  <c:v>57.273333333330001</c:v>
                </c:pt>
                <c:pt idx="598">
                  <c:v>60.403333333330004</c:v>
                </c:pt>
                <c:pt idx="599">
                  <c:v>63.353333333329999</c:v>
                </c:pt>
                <c:pt idx="600">
                  <c:v>61.626666666669998</c:v>
                </c:pt>
                <c:pt idx="601">
                  <c:v>53.346666666669996</c:v>
                </c:pt>
                <c:pt idx="602">
                  <c:v>32.203333333330001</c:v>
                </c:pt>
                <c:pt idx="603">
                  <c:v>21.043333333330001</c:v>
                </c:pt>
                <c:pt idx="604">
                  <c:v>30.38</c:v>
                </c:pt>
                <c:pt idx="605">
                  <c:v>39.456666666670003</c:v>
                </c:pt>
                <c:pt idx="606">
                  <c:v>42.066666666670002</c:v>
                </c:pt>
                <c:pt idx="607">
                  <c:v>43.443333333330003</c:v>
                </c:pt>
                <c:pt idx="608">
                  <c:v>40.596666666669996</c:v>
                </c:pt>
                <c:pt idx="609">
                  <c:v>39.9</c:v>
                </c:pt>
                <c:pt idx="610">
                  <c:v>42.303333333330002</c:v>
                </c:pt>
                <c:pt idx="611">
                  <c:v>48.726666666669999</c:v>
                </c:pt>
                <c:pt idx="612">
                  <c:v>53.603333333329999</c:v>
                </c:pt>
                <c:pt idx="613">
                  <c:v>60.463333333329999</c:v>
                </c:pt>
                <c:pt idx="614">
                  <c:v>63.83</c:v>
                </c:pt>
                <c:pt idx="615">
                  <c:v>62.95</c:v>
                </c:pt>
                <c:pt idx="616">
                  <c:v>66.400000000000006</c:v>
                </c:pt>
                <c:pt idx="617">
                  <c:v>71.803333333330002</c:v>
                </c:pt>
                <c:pt idx="618">
                  <c:v>73.283333333330006</c:v>
                </c:pt>
                <c:pt idx="619">
                  <c:v>68.86666666667</c:v>
                </c:pt>
                <c:pt idx="620">
                  <c:v>72.8</c:v>
                </c:pt>
                <c:pt idx="621">
                  <c:v>82.063333333329993</c:v>
                </c:pt>
                <c:pt idx="622">
                  <c:v>79.916666666669997</c:v>
                </c:pt>
                <c:pt idx="623">
                  <c:v>72.86666666667</c:v>
                </c:pt>
                <c:pt idx="624">
                  <c:v>83.92</c:v>
                </c:pt>
                <c:pt idx="625">
                  <c:v>93.543333333329997</c:v>
                </c:pt>
                <c:pt idx="626">
                  <c:v>112.39666666667</c:v>
                </c:pt>
                <c:pt idx="627">
                  <c:v>103.41333333333</c:v>
                </c:pt>
                <c:pt idx="628">
                  <c:v>110.09666666667</c:v>
                </c:pt>
                <c:pt idx="629">
                  <c:v>116.8</c:v>
                </c:pt>
                <c:pt idx="630">
                  <c:v>105.08333333333</c:v>
                </c:pt>
                <c:pt idx="631">
                  <c:v>95.973333333330004</c:v>
                </c:pt>
                <c:pt idx="632">
                  <c:v>88.22</c:v>
                </c:pt>
                <c:pt idx="633">
                  <c:v>90.326666666669993</c:v>
                </c:pt>
                <c:pt idx="634">
                  <c:v>87.376666666670005</c:v>
                </c:pt>
                <c:pt idx="635">
                  <c:v>78.066666666670002</c:v>
                </c:pt>
                <c:pt idx="636">
                  <c:v>80.41</c:v>
                </c:pt>
                <c:pt idx="637">
                  <c:v>80.253333333330005</c:v>
                </c:pt>
                <c:pt idx="638">
                  <c:v>76.473333333330004</c:v>
                </c:pt>
                <c:pt idx="639">
                  <c:v>82.46</c:v>
                </c:pt>
                <c:pt idx="640">
                  <c:v>74.123333333329995</c:v>
                </c:pt>
                <c:pt idx="641">
                  <c:v>73.263333333329996</c:v>
                </c:pt>
                <c:pt idx="642">
                  <c:v>78.983333333329995</c:v>
                </c:pt>
                <c:pt idx="643">
                  <c:v>84.724333333329994</c:v>
                </c:pt>
                <c:pt idx="644">
                  <c:v>92.22</c:v>
                </c:pt>
                <c:pt idx="645">
                  <c:v>89.083666666669998</c:v>
                </c:pt>
                <c:pt idx="646">
                  <c:v>81.354333333330004</c:v>
                </c:pt>
                <c:pt idx="647">
                  <c:v>75.719333333329999</c:v>
                </c:pt>
                <c:pt idx="648">
                  <c:v>77.672333333330002</c:v>
                </c:pt>
                <c:pt idx="649">
                  <c:v>80.548000000000002</c:v>
                </c:pt>
                <c:pt idx="650">
                  <c:v>83.545666666670002</c:v>
                </c:pt>
                <c:pt idx="651">
                  <c:v>88.011333333330001</c:v>
                </c:pt>
                <c:pt idx="652">
                  <c:v>81.444999999999993</c:v>
                </c:pt>
                <c:pt idx="653">
                  <c:v>81.204999999999998</c:v>
                </c:pt>
                <c:pt idx="654">
                  <c:v>83.258666666669995</c:v>
                </c:pt>
                <c:pt idx="655">
                  <c:v>78.120999999999995</c:v>
                </c:pt>
                <c:pt idx="656">
                  <c:v>72.424333333329997</c:v>
                </c:pt>
                <c:pt idx="657">
                  <c:v>73.970666666669999</c:v>
                </c:pt>
                <c:pt idx="658">
                  <c:v>72.291666666669997</c:v>
                </c:pt>
                <c:pt idx="659">
                  <c:v>72.311000000000007</c:v>
                </c:pt>
                <c:pt idx="660">
                  <c:v>67.650000000000006</c:v>
                </c:pt>
                <c:pt idx="661">
                  <c:v>66.010000000000005</c:v>
                </c:pt>
                <c:pt idx="662">
                  <c:v>68.2</c:v>
                </c:pt>
                <c:pt idx="663">
                  <c:v>62.97</c:v>
                </c:pt>
                <c:pt idx="664">
                  <c:v>60.85</c:v>
                </c:pt>
                <c:pt idx="665">
                  <c:v>67.86</c:v>
                </c:pt>
                <c:pt idx="666">
                  <c:v>66.97</c:v>
                </c:pt>
                <c:pt idx="667">
                  <c:v>64.209999999999994</c:v>
                </c:pt>
                <c:pt idx="668">
                  <c:v>63.51</c:v>
                </c:pt>
                <c:pt idx="669">
                  <c:v>60.05</c:v>
                </c:pt>
                <c:pt idx="670">
                  <c:v>59.46</c:v>
                </c:pt>
                <c:pt idx="671">
                  <c:v>57.95</c:v>
                </c:pt>
                <c:pt idx="672">
                  <c:v>60.04</c:v>
                </c:pt>
                <c:pt idx="673">
                  <c:v>64.47</c:v>
                </c:pt>
                <c:pt idx="674">
                  <c:v>87.84</c:v>
                </c:pt>
              </c:numCache>
            </c:numRef>
          </c:val>
          <c:smooth val="0"/>
          <c:extLst>
            <c:ext xmlns:c16="http://schemas.microsoft.com/office/drawing/2014/chart" uri="{C3380CC4-5D6E-409C-BE32-E72D297353CC}">
              <c16:uniqueId val="{00000003-13F6-4549-A134-C260435FFCA3}"/>
            </c:ext>
          </c:extLst>
        </c:ser>
        <c:dLbls>
          <c:dLblPos val="t"/>
          <c:showLegendKey val="0"/>
          <c:showVal val="0"/>
          <c:showCatName val="0"/>
          <c:showSerName val="0"/>
          <c:showPercent val="0"/>
          <c:showBubbleSize val="0"/>
        </c:dLbls>
        <c:marker val="1"/>
        <c:smooth val="0"/>
        <c:axId val="1909577471"/>
        <c:axId val="1909577887"/>
      </c:lineChart>
      <c:catAx>
        <c:axId val="1909577471"/>
        <c:scaling>
          <c:orientation val="minMax"/>
        </c:scaling>
        <c:delete val="1"/>
        <c:axPos val="b"/>
        <c:numFmt formatCode="General" sourceLinked="1"/>
        <c:majorTickMark val="out"/>
        <c:minorTickMark val="none"/>
        <c:tickLblPos val="nextTo"/>
        <c:crossAx val="1909577887"/>
        <c:crosses val="autoZero"/>
        <c:auto val="1"/>
        <c:lblAlgn val="ctr"/>
        <c:lblOffset val="100"/>
        <c:noMultiLvlLbl val="0"/>
      </c:catAx>
      <c:valAx>
        <c:axId val="190957788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957747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a:noFill/>
    </a:ln>
    <a:effectLst>
      <a:glow rad="63500">
        <a:schemeClr val="accent2">
          <a:lumMod val="60000"/>
          <a:lumOff val="4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371475</xdr:colOff>
      <xdr:row>5</xdr:row>
      <xdr:rowOff>0</xdr:rowOff>
    </xdr:from>
    <xdr:to>
      <xdr:col>15</xdr:col>
      <xdr:colOff>152400</xdr:colOff>
      <xdr:row>12</xdr:row>
      <xdr:rowOff>38100</xdr:rowOff>
    </xdr:to>
    <mc:AlternateContent xmlns:mc="http://schemas.openxmlformats.org/markup-compatibility/2006">
      <mc:Choice xmlns:tsle="http://schemas.microsoft.com/office/drawing/2012/timeslicer" Requires="tsle">
        <xdr:graphicFrame macro="">
          <xdr:nvGraphicFramePr>
            <xdr:cNvPr id="10" name="Date">
              <a:extLst>
                <a:ext uri="{FF2B5EF4-FFF2-40B4-BE49-F238E27FC236}">
                  <a16:creationId xmlns:a16="http://schemas.microsoft.com/office/drawing/2014/main" id="{7909765B-03A4-44FA-BF25-B654A440996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496175" y="9525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9524</xdr:colOff>
      <xdr:row>0</xdr:row>
      <xdr:rowOff>28575</xdr:rowOff>
    </xdr:from>
    <xdr:to>
      <xdr:col>14</xdr:col>
      <xdr:colOff>533399</xdr:colOff>
      <xdr:row>5</xdr:row>
      <xdr:rowOff>95250</xdr:rowOff>
    </xdr:to>
    <xdr:sp macro="" textlink="">
      <xdr:nvSpPr>
        <xdr:cNvPr id="2" name="Rectangle: Rounded Corners 1">
          <a:extLst>
            <a:ext uri="{FF2B5EF4-FFF2-40B4-BE49-F238E27FC236}">
              <a16:creationId xmlns:a16="http://schemas.microsoft.com/office/drawing/2014/main" id="{23CEB91C-5F30-4498-882A-483A1508F363}"/>
            </a:ext>
          </a:extLst>
        </xdr:cNvPr>
        <xdr:cNvSpPr/>
      </xdr:nvSpPr>
      <xdr:spPr>
        <a:xfrm>
          <a:off x="6105524" y="28575"/>
          <a:ext cx="2962275" cy="1019175"/>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accent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Global Crude Oil Price Dynamics &amp; Trend Analysis</a:t>
          </a:r>
        </a:p>
        <a:p>
          <a:pPr algn="ctr"/>
          <a:r>
            <a:rPr lang="en-US" sz="1000" b="0">
              <a:solidFill>
                <a:schemeClr val="accent1">
                  <a:lumMod val="50000"/>
                </a:schemeClr>
              </a:solidFill>
              <a:latin typeface="Arial Black" panose="020B0A04020102020204" pitchFamily="34" charset="0"/>
            </a:rPr>
            <a:t>1970-2026</a:t>
          </a:r>
        </a:p>
      </xdr:txBody>
    </xdr:sp>
    <xdr:clientData/>
  </xdr:twoCellAnchor>
  <xdr:twoCellAnchor>
    <xdr:from>
      <xdr:col>15</xdr:col>
      <xdr:colOff>19050</xdr:colOff>
      <xdr:row>0</xdr:row>
      <xdr:rowOff>76200</xdr:rowOff>
    </xdr:from>
    <xdr:to>
      <xdr:col>19</xdr:col>
      <xdr:colOff>533400</xdr:colOff>
      <xdr:row>8</xdr:row>
      <xdr:rowOff>76200</xdr:rowOff>
    </xdr:to>
    <xdr:graphicFrame macro="">
      <xdr:nvGraphicFramePr>
        <xdr:cNvPr id="3" name="Chart 2">
          <a:extLst>
            <a:ext uri="{FF2B5EF4-FFF2-40B4-BE49-F238E27FC236}">
              <a16:creationId xmlns:a16="http://schemas.microsoft.com/office/drawing/2014/main" id="{1494D436-4499-4BEE-B1D0-4F582784A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219075</xdr:colOff>
      <xdr:row>8</xdr:row>
      <xdr:rowOff>133350</xdr:rowOff>
    </xdr:from>
    <xdr:to>
      <xdr:col>12</xdr:col>
      <xdr:colOff>571500</xdr:colOff>
      <xdr:row>22</xdr:row>
      <xdr:rowOff>114300</xdr:rowOff>
    </xdr:to>
    <xdr:graphicFrame macro="">
      <xdr:nvGraphicFramePr>
        <xdr:cNvPr id="4" name="Chart 3">
          <a:extLst>
            <a:ext uri="{FF2B5EF4-FFF2-40B4-BE49-F238E27FC236}">
              <a16:creationId xmlns:a16="http://schemas.microsoft.com/office/drawing/2014/main" id="{EEE3D519-F91E-4159-A6D7-E25D3ACEB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47625</xdr:colOff>
      <xdr:row>8</xdr:row>
      <xdr:rowOff>142875</xdr:rowOff>
    </xdr:from>
    <xdr:to>
      <xdr:col>19</xdr:col>
      <xdr:colOff>552450</xdr:colOff>
      <xdr:row>22</xdr:row>
      <xdr:rowOff>104775</xdr:rowOff>
    </xdr:to>
    <xdr:graphicFrame macro="">
      <xdr:nvGraphicFramePr>
        <xdr:cNvPr id="6" name="Chart 5">
          <a:extLst>
            <a:ext uri="{FF2B5EF4-FFF2-40B4-BE49-F238E27FC236}">
              <a16:creationId xmlns:a16="http://schemas.microsoft.com/office/drawing/2014/main" id="{C21DAE24-E7D7-46A9-A455-97E57A183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466724</xdr:colOff>
      <xdr:row>0</xdr:row>
      <xdr:rowOff>38100</xdr:rowOff>
    </xdr:from>
    <xdr:to>
      <xdr:col>6</xdr:col>
      <xdr:colOff>561975</xdr:colOff>
      <xdr:row>8</xdr:row>
      <xdr:rowOff>57150</xdr:rowOff>
    </xdr:to>
    <mc:AlternateContent xmlns:mc="http://schemas.openxmlformats.org/markup-compatibility/2006">
      <mc:Choice xmlns:a14="http://schemas.microsoft.com/office/drawing/2010/main" Requires="a14">
        <xdr:graphicFrame macro="">
          <xdr:nvGraphicFramePr>
            <xdr:cNvPr id="7" name="Quarter">
              <a:extLst>
                <a:ext uri="{FF2B5EF4-FFF2-40B4-BE49-F238E27FC236}">
                  <a16:creationId xmlns:a16="http://schemas.microsoft.com/office/drawing/2014/main" id="{E5FABE51-FDC5-44E0-85A2-F3AA98DC668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3514724" y="38100"/>
              <a:ext cx="704851"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590550</xdr:colOff>
      <xdr:row>0</xdr:row>
      <xdr:rowOff>38101</xdr:rowOff>
    </xdr:from>
    <xdr:to>
      <xdr:col>9</xdr:col>
      <xdr:colOff>581025</xdr:colOff>
      <xdr:row>8</xdr:row>
      <xdr:rowOff>47625</xdr:rowOff>
    </xdr:to>
    <mc:AlternateContent xmlns:mc="http://schemas.openxmlformats.org/markup-compatibility/2006">
      <mc:Choice xmlns:a14="http://schemas.microsoft.com/office/drawing/2010/main" Requires="a14">
        <xdr:graphicFrame macro="">
          <xdr:nvGraphicFramePr>
            <xdr:cNvPr id="8" name="MonthName">
              <a:extLst>
                <a:ext uri="{FF2B5EF4-FFF2-40B4-BE49-F238E27FC236}">
                  <a16:creationId xmlns:a16="http://schemas.microsoft.com/office/drawing/2014/main" id="{16EA1BA5-E1BB-488A-8EC8-7E5E6C993BB7}"/>
                </a:ext>
              </a:extLst>
            </xdr:cNvPr>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dr:sp macro="" textlink="">
          <xdr:nvSpPr>
            <xdr:cNvPr id="0" name=""/>
            <xdr:cNvSpPr>
              <a:spLocks noTextEdit="1"/>
            </xdr:cNvSpPr>
          </xdr:nvSpPr>
          <xdr:spPr>
            <a:xfrm>
              <a:off x="4248150" y="38101"/>
              <a:ext cx="1819275" cy="1533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8</xdr:row>
      <xdr:rowOff>123825</xdr:rowOff>
    </xdr:from>
    <xdr:to>
      <xdr:col>8</xdr:col>
      <xdr:colOff>171450</xdr:colOff>
      <xdr:row>22</xdr:row>
      <xdr:rowOff>142874</xdr:rowOff>
    </xdr:to>
    <xdr:graphicFrame macro="">
      <xdr:nvGraphicFramePr>
        <xdr:cNvPr id="9" name="Chart 8">
          <a:extLst>
            <a:ext uri="{FF2B5EF4-FFF2-40B4-BE49-F238E27FC236}">
              <a16:creationId xmlns:a16="http://schemas.microsoft.com/office/drawing/2014/main" id="{EB201B48-70AB-469B-9512-223546DED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38099</xdr:colOff>
      <xdr:row>0</xdr:row>
      <xdr:rowOff>38099</xdr:rowOff>
    </xdr:from>
    <xdr:to>
      <xdr:col>5</xdr:col>
      <xdr:colOff>409574</xdr:colOff>
      <xdr:row>8</xdr:row>
      <xdr:rowOff>57150</xdr:rowOff>
    </xdr:to>
    <mc:AlternateContent xmlns:mc="http://schemas.openxmlformats.org/markup-compatibility/2006">
      <mc:Choice xmlns:tsle="http://schemas.microsoft.com/office/drawing/2012/timeslicer" Requires="tsle">
        <xdr:graphicFrame macro="">
          <xdr:nvGraphicFramePr>
            <xdr:cNvPr id="10" name="Date 1">
              <a:extLst>
                <a:ext uri="{FF2B5EF4-FFF2-40B4-BE49-F238E27FC236}">
                  <a16:creationId xmlns:a16="http://schemas.microsoft.com/office/drawing/2014/main" id="{A65CA76E-22B4-42FB-9EF8-96C0B5F2D5A2}"/>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38099" y="38099"/>
              <a:ext cx="3419475" cy="154305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400050</xdr:colOff>
      <xdr:row>5</xdr:row>
      <xdr:rowOff>190499</xdr:rowOff>
    </xdr:from>
    <xdr:to>
      <xdr:col>13</xdr:col>
      <xdr:colOff>523875</xdr:colOff>
      <xdr:row>7</xdr:row>
      <xdr:rowOff>180974</xdr:rowOff>
    </xdr:to>
    <xdr:grpSp>
      <xdr:nvGrpSpPr>
        <xdr:cNvPr id="13" name="Group 12">
          <a:extLst>
            <a:ext uri="{FF2B5EF4-FFF2-40B4-BE49-F238E27FC236}">
              <a16:creationId xmlns:a16="http://schemas.microsoft.com/office/drawing/2014/main" id="{E0873D24-6E88-49CA-83EB-46A797C4D43C}"/>
            </a:ext>
          </a:extLst>
        </xdr:cNvPr>
        <xdr:cNvGrpSpPr/>
      </xdr:nvGrpSpPr>
      <xdr:grpSpPr>
        <a:xfrm>
          <a:off x="6496050" y="1142999"/>
          <a:ext cx="1952625" cy="371475"/>
          <a:chOff x="6105525" y="1133474"/>
          <a:chExt cx="1952625" cy="371475"/>
        </a:xfrm>
      </xdr:grpSpPr>
      <xdr:sp macro="" textlink="Pivots!L3">
        <xdr:nvSpPr>
          <xdr:cNvPr id="11" name="Rectangle: Rounded Corners 10">
            <a:extLst>
              <a:ext uri="{FF2B5EF4-FFF2-40B4-BE49-F238E27FC236}">
                <a16:creationId xmlns:a16="http://schemas.microsoft.com/office/drawing/2014/main" id="{B5A2B6BB-D8E1-4ADD-B986-AD2769081DB4}"/>
              </a:ext>
            </a:extLst>
          </xdr:cNvPr>
          <xdr:cNvSpPr/>
        </xdr:nvSpPr>
        <xdr:spPr>
          <a:xfrm>
            <a:off x="7372350" y="1171575"/>
            <a:ext cx="619125" cy="295275"/>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879F142-049B-4370-8A8A-1C5972570172}" type="TxLink">
              <a:rPr lang="en-US" sz="1200" b="1" i="0" u="none" strike="noStrike">
                <a:solidFill>
                  <a:schemeClr val="bg1"/>
                </a:solidFill>
                <a:latin typeface="Calibri"/>
                <a:cs typeface="Calibri"/>
              </a:rPr>
              <a:t>1.21</a:t>
            </a:fld>
            <a:endParaRPr lang="en-US" sz="1200" b="1">
              <a:solidFill>
                <a:schemeClr val="bg1"/>
              </a:solidFill>
            </a:endParaRPr>
          </a:p>
        </xdr:txBody>
      </xdr:sp>
      <xdr:sp macro="" textlink="">
        <xdr:nvSpPr>
          <xdr:cNvPr id="12" name="Rectangle: Rounded Corners 11">
            <a:extLst>
              <a:ext uri="{FF2B5EF4-FFF2-40B4-BE49-F238E27FC236}">
                <a16:creationId xmlns:a16="http://schemas.microsoft.com/office/drawing/2014/main" id="{9EA37BEF-BB63-4BE5-8A58-DE1D5FBBED42}"/>
              </a:ext>
            </a:extLst>
          </xdr:cNvPr>
          <xdr:cNvSpPr/>
        </xdr:nvSpPr>
        <xdr:spPr>
          <a:xfrm>
            <a:off x="6105525" y="1133474"/>
            <a:ext cx="1952625" cy="37147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latin typeface="Arial Black" panose="020B0A04020102020204" pitchFamily="34" charset="0"/>
              </a:rPr>
              <a:t>Avg</a:t>
            </a:r>
            <a:r>
              <a:rPr lang="en-US" sz="1400" b="1" baseline="0">
                <a:solidFill>
                  <a:schemeClr val="bg1"/>
                </a:solidFill>
                <a:latin typeface="Arial Black" panose="020B0A04020102020204" pitchFamily="34" charset="0"/>
              </a:rPr>
              <a:t> Price </a:t>
            </a:r>
            <a:endParaRPr lang="en-US" sz="1400" b="1">
              <a:solidFill>
                <a:schemeClr val="bg1"/>
              </a:solidFill>
              <a:latin typeface="Arial Black" panose="020B0A04020102020204"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S" refreshedDate="46110.730344212963" createdVersion="7" refreshedVersion="7" minRefreshableVersion="3" recordCount="675" xr:uid="{00000000-000A-0000-FFFF-FFFF08000000}">
  <cacheSource type="worksheet">
    <worksheetSource name="Fuel_prices"/>
  </cacheSource>
  <cacheFields count="9">
    <cacheField name="Date" numFmtId="14">
      <sharedItems containsSemiMixedTypes="0" containsNonDate="0" containsDate="1" containsString="0" minDate="1970-01-01T00:00:00" maxDate="2026-03-02T00:00:00" count="675">
        <d v="1970-01-01T00:00:00"/>
        <d v="1970-02-01T00:00:00"/>
        <d v="1970-03-01T00:00:00"/>
        <d v="1970-04-01T00:00:00"/>
        <d v="1970-05-01T00:00:00"/>
        <d v="1970-06-01T00:00:00"/>
        <d v="1970-07-01T00:00:00"/>
        <d v="1970-08-01T00:00:00"/>
        <d v="1970-09-01T00:00:00"/>
        <d v="1970-10-01T00:00:00"/>
        <d v="1970-11-01T00:00:00"/>
        <d v="1970-12-01T00:00:00"/>
        <d v="1971-01-01T00:00:00"/>
        <d v="1971-02-01T00:00:00"/>
        <d v="1971-03-01T00:00:00"/>
        <d v="1971-04-01T00:00:00"/>
        <d v="1971-05-01T00:00:00"/>
        <d v="1971-06-01T00:00:00"/>
        <d v="1971-07-01T00:00:00"/>
        <d v="1971-08-01T00:00:00"/>
        <d v="1971-09-01T00:00:00"/>
        <d v="1971-10-01T00:00:00"/>
        <d v="1971-11-01T00:00:00"/>
        <d v="1971-12-01T00:00:00"/>
        <d v="1972-01-01T00:00:00"/>
        <d v="1972-02-01T00:00:00"/>
        <d v="1972-03-01T00:00:00"/>
        <d v="1972-04-01T00:00:00"/>
        <d v="1972-05-01T00:00:00"/>
        <d v="1972-06-01T00:00:00"/>
        <d v="1972-07-01T00:00:00"/>
        <d v="1972-08-01T00:00:00"/>
        <d v="1972-09-01T00:00:00"/>
        <d v="1972-10-01T00:00:00"/>
        <d v="1972-11-01T00:00:00"/>
        <d v="1972-12-01T00:00:00"/>
        <d v="1973-01-01T00:00:00"/>
        <d v="1973-02-01T00:00:00"/>
        <d v="1973-03-01T00:00:00"/>
        <d v="1973-04-01T00:00:00"/>
        <d v="1973-05-01T00:00:00"/>
        <d v="1973-06-01T00:00:00"/>
        <d v="1973-07-01T00:00:00"/>
        <d v="1973-08-01T00:00:00"/>
        <d v="1973-09-01T00:00:00"/>
        <d v="1973-10-01T00:00:00"/>
        <d v="1973-11-01T00:00:00"/>
        <d v="1973-12-01T00:00:00"/>
        <d v="1974-01-01T00:00:00"/>
        <d v="1974-02-01T00:00:00"/>
        <d v="1974-03-01T00:00:00"/>
        <d v="1974-04-01T00:00:00"/>
        <d v="1974-05-01T00:00:00"/>
        <d v="1974-06-01T00:00:00"/>
        <d v="1974-07-01T00:00:00"/>
        <d v="1974-08-01T00:00:00"/>
        <d v="1974-09-01T00:00:00"/>
        <d v="1974-10-01T00:00:00"/>
        <d v="1974-11-01T00:00:00"/>
        <d v="1974-12-01T00:00:00"/>
        <d v="1975-01-01T00:00:00"/>
        <d v="1975-02-01T00:00:00"/>
        <d v="1975-03-01T00:00:00"/>
        <d v="1975-04-01T00:00:00"/>
        <d v="1975-05-01T00:00:00"/>
        <d v="1975-06-01T00:00:00"/>
        <d v="1975-07-01T00:00:00"/>
        <d v="1975-08-01T00:00:00"/>
        <d v="1975-09-01T00:00:00"/>
        <d v="1975-10-01T00:00:00"/>
        <d v="1975-11-01T00:00:00"/>
        <d v="1975-12-01T00:00:00"/>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sharedItems>
    </cacheField>
    <cacheField name="Quarter" numFmtId="0">
      <sharedItems containsSemiMixedTypes="0" containsString="0" containsNumber="1" containsInteger="1" minValue="1" maxValue="4" count="4">
        <n v="1"/>
        <n v="2"/>
        <n v="3"/>
        <n v="4"/>
      </sharedItems>
    </cacheField>
    <cacheField name="Month" numFmtId="0">
      <sharedItems containsSemiMixedTypes="0" containsString="0" containsNumber="1" containsInteger="1" minValue="1" maxValue="12" count="12">
        <n v="1"/>
        <n v="2"/>
        <n v="3"/>
        <n v="4"/>
        <n v="5"/>
        <n v="6"/>
        <n v="7"/>
        <n v="8"/>
        <n v="9"/>
        <n v="10"/>
        <n v="11"/>
        <n v="12"/>
      </sharedItems>
    </cacheField>
    <cacheField name="MonthName" numFmtId="0">
      <sharedItems count="12">
        <s v="Jan"/>
        <s v="Feb"/>
        <s v="Mar"/>
        <s v="Apr"/>
        <s v="May"/>
        <s v="Jun"/>
        <s v="Jul"/>
        <s v="Aug"/>
        <s v="Sep"/>
        <s v="Oct"/>
        <s v="Nov"/>
        <s v="Dec"/>
      </sharedItems>
    </cacheField>
    <cacheField name="Year" numFmtId="0">
      <sharedItems containsSemiMixedTypes="0" containsString="0" containsNumber="1" containsInteger="1" minValue="1970" maxValue="2026" count="57">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Crude_Oil_Price" numFmtId="2">
      <sharedItems containsSemiMixedTypes="0" containsString="0" containsNumber="1" minValue="1.21" maxValue="132.82518445323001" count="578">
        <n v="1.21"/>
        <n v="1.64"/>
        <n v="1.74"/>
        <n v="1.77"/>
        <n v="1.87"/>
        <n v="2.08"/>
        <n v="2.35"/>
        <n v="2.7"/>
        <n v="4.0999999999999996"/>
        <n v="13"/>
        <n v="10.59999847412"/>
        <n v="10"/>
        <n v="10.29999923706"/>
        <n v="10.42000007629"/>
        <n v="10.43000030518"/>
        <n v="10.46000003815"/>
        <n v="11.510000228879999"/>
        <n v="11.60000038147"/>
        <n v="11.89999961853"/>
        <n v="12.5"/>
        <n v="12.44999980927"/>
        <n v="12.63000011444"/>
        <n v="12.68000030518"/>
        <n v="12.659999847410001"/>
        <n v="12.69999980927"/>
        <n v="12.72999954224"/>
        <n v="12.77000045776"/>
        <n v="12.78999996185"/>
        <n v="12.80000019073"/>
        <n v="12.85000038147"/>
        <n v="13.19999980927"/>
        <n v="14.5"/>
        <n v="17.4500002861"/>
        <n v="20.75"/>
        <n v="22.02499961853"/>
        <n v="22.42500019073"/>
        <n v="33.5"/>
        <n v="34.67499923706"/>
        <n v="34"/>
        <n v="35.5"/>
        <n v="37.25"/>
        <n v="40.75"/>
        <n v="39.75"/>
        <n v="39"/>
        <n v="37"/>
        <n v="36.57500076294"/>
        <n v="37.04999923706"/>
        <n v="35.375"/>
        <n v="32.949998855590003"/>
        <n v="32.82500076294"/>
        <n v="37.350000381469997"/>
        <n v="40.29999923706"/>
        <n v="39.774999618530003"/>
        <n v="37.899999618530003"/>
        <n v="37.59999847412"/>
        <n v="36.369998931879998"/>
        <n v="34.284999847409999"/>
        <n v="32.709999084469999"/>
        <n v="33.510000228880003"/>
        <n v="33.984998703000002"/>
        <n v="33.985000610349999"/>
        <n v="34.610000610349999"/>
        <n v="35.680000305180002"/>
        <n v="35.409999847409999"/>
        <n v="35.049999491370002"/>
        <n v="32.273333485919999"/>
        <n v="30.16666653951"/>
        <n v="31.56666603088"/>
        <n v="33.043332926429997"/>
        <n v="32.766666666669998"/>
        <n v="32.916667175290002"/>
        <n v="32.416666412349997"/>
        <n v="33.466666412350001"/>
        <n v="33.783333841960001"/>
        <n v="32.849999745689999"/>
        <n v="31.46666679382"/>
        <n v="30.653333028159999"/>
        <n v="29.113333384200001"/>
        <n v="28.32000033061"/>
        <n v="29.693333307900001"/>
        <n v="29.359999974570002"/>
        <n v="29.966667175289999"/>
        <n v="30.466666539510001"/>
        <n v="30.07000033061"/>
        <n v="29.616666793819999"/>
        <n v="29.16666666667"/>
        <n v="28.813333511349999"/>
        <n v="29.043333053590001"/>
        <n v="29.203332901"/>
        <n v="29.533333460489999"/>
        <n v="29.573332468669999"/>
        <n v="29.460000356039998"/>
        <n v="29.050000508629999"/>
        <n v="27.98666699727"/>
        <n v="28.170000076289998"/>
        <n v="28.353333155310001"/>
        <n v="27.853333155310001"/>
        <n v="27.650000254310001"/>
        <n v="26.813333511349999"/>
        <n v="26.63333333333"/>
        <n v="27.6"/>
        <n v="27.85"/>
        <n v="27.8"/>
        <n v="26.65"/>
        <n v="26.36666666667"/>
        <n v="26.38333333333"/>
        <n v="27.016666666670002"/>
        <n v="26.983333333329998"/>
        <n v="27.816666666669999"/>
        <n v="28.6"/>
        <n v="26.5"/>
        <n v="24.683333333330001"/>
        <n v="15.91666666667"/>
        <n v="12.65"/>
        <n v="11.9"/>
        <n v="13.716666666669999"/>
        <n v="11.85"/>
        <n v="9.6166666666699996"/>
        <n v="13.7"/>
        <n v="14.08333333333"/>
        <n v="13.95"/>
        <n v="14.45"/>
        <n v="15.683333333329999"/>
        <n v="18.066666666669999"/>
        <n v="17.25"/>
        <n v="17.75"/>
        <n v="17.899999999999999"/>
        <n v="18.399999999999999"/>
        <n v="18.716666666670001"/>
        <n v="19.61666666667"/>
        <n v="18.816666666669999"/>
        <n v="18.283333333329999"/>
        <n v="18.566666666669999"/>
        <n v="16.63333333333"/>
        <n v="16.466666666670001"/>
        <n v="15.85"/>
        <n v="14.783333333330001"/>
        <n v="16.216666666670001"/>
        <n v="15.33333333333"/>
        <n v="14.48333333333"/>
        <n v="14.55"/>
        <n v="13.1"/>
        <n v="12.183333333329999"/>
        <n v="12.533333333330001"/>
        <n v="14.65"/>
        <n v="16.483333333329998"/>
        <n v="16.350000000000001"/>
        <n v="18.033333333329999"/>
        <n v="19.2"/>
        <n v="18.016666666670002"/>
        <n v="17.63333333333"/>
        <n v="17.66666666667"/>
        <n v="16.88333333333"/>
        <n v="18.41666666667"/>
        <n v="18.36666666667"/>
        <n v="19.350000000000001"/>
        <n v="20.350000000000001"/>
        <n v="19.600000000000001"/>
        <n v="18.216666666670001"/>
        <n v="16.55"/>
        <n v="16.58333333333"/>
        <n v="15.26666666667"/>
        <n v="17.16666666667"/>
        <n v="26.4"/>
        <n v="32.700000000000003"/>
        <n v="34.5"/>
        <n v="31.08333333333"/>
        <n v="26.13333333333"/>
        <n v="22.58333333333"/>
        <n v="18.13333333333"/>
        <n v="18.466666666670001"/>
        <n v="17.933333333330001"/>
        <n v="19.05"/>
        <n v="19.36666666667"/>
        <n v="20.05"/>
        <n v="21.466666666670001"/>
        <n v="20.766666666670002"/>
        <n v="17.38333333333"/>
        <n v="17.61666666667"/>
        <n v="17.45"/>
        <n v="18.63333333333"/>
        <n v="19.5"/>
        <n v="20.83333333333"/>
        <n v="20.16666666667"/>
        <n v="20.149999999999999"/>
        <n v="20.08333333333"/>
        <n v="18.88333333333"/>
        <n v="17.216666666670001"/>
        <n v="18.16666666667"/>
        <n v="18.433333333330001"/>
        <n v="17.466666666670001"/>
        <n v="16.316666666669999"/>
        <n v="15.9"/>
        <n v="16.516666666670002"/>
        <n v="15.2"/>
        <n v="13.76666666667"/>
        <n v="14.13333333333"/>
        <n v="13.783333333330001"/>
        <n v="13.61666666667"/>
        <n v="15.08333333333"/>
        <n v="16.283333333329999"/>
        <n v="17.88333333333"/>
        <n v="17"/>
        <n v="16.2"/>
        <n v="17.08333333333"/>
        <n v="15.94"/>
        <n v="16.899999999999999"/>
        <n v="17.41666666667"/>
        <n v="17.34666666667"/>
        <n v="18.646666666670001"/>
        <n v="18.42333333333"/>
        <n v="17.363333333330001"/>
        <n v="16.08333333333"/>
        <n v="16.82"/>
        <n v="16.123333333329999"/>
        <n v="16.74333333333"/>
        <n v="17.86666666667"/>
        <n v="17.8"/>
        <n v="17.696666666670001"/>
        <n v="19.399999999999999"/>
        <n v="20.66"/>
        <n v="19.06333333333"/>
        <n v="18.513333333329999"/>
        <n v="19.586666666669998"/>
        <n v="20.440000000000001"/>
        <n v="22.25666666667"/>
        <n v="23.61"/>
        <n v="22.39"/>
        <n v="23.623333333329999"/>
        <n v="23.226666666669999"/>
        <n v="20.420000000000002"/>
        <n v="19.329999999999998"/>
        <n v="17.88"/>
        <n v="19.367433333329998"/>
        <n v="17.920000000000002"/>
        <n v="18.329999999999998"/>
        <n v="18.7"/>
        <n v="18.661746031749999"/>
        <n v="20.04"/>
        <n v="19.086666666669998"/>
        <n v="17.09"/>
        <n v="15"/>
        <n v="14.1"/>
        <n v="13.123333333330001"/>
        <n v="13.5"/>
        <n v="14.02666666667"/>
        <n v="12.478999999999999"/>
        <n v="12.69966666667"/>
        <n v="12.487966666669999"/>
        <n v="13.80333333333"/>
        <n v="13.263333333329999"/>
        <n v="11.88"/>
        <n v="10.41"/>
        <n v="11.443333333329999"/>
        <n v="10.75333333333"/>
        <n v="13.16666666667"/>
        <n v="15.86666666667"/>
        <n v="16.06333333333"/>
        <n v="16.393333333329998"/>
        <n v="18.986666666670001"/>
        <n v="20.27"/>
        <n v="22.7"/>
        <n v="21.95"/>
        <n v="24.163333333330002"/>
        <n v="25.1"/>
        <n v="25.31"/>
        <n v="27.220966666670002"/>
        <n v="27.49"/>
        <n v="23.47"/>
        <n v="27.18666666667"/>
        <n v="29.620766666670001"/>
        <n v="28.176666666669998"/>
        <n v="29.262899999999998"/>
        <n v="32.082833333330001"/>
        <n v="31.40016666667"/>
        <n v="32.331000000000003"/>
        <n v="25.204666666670001"/>
        <n v="25.957272727269999"/>
        <n v="27.23883333333"/>
        <n v="25.02257575758"/>
        <n v="25.718"/>
        <n v="27.546825396829998"/>
        <n v="26.966031746030001"/>
        <n v="24.80367965368"/>
        <n v="25.821159420290002"/>
        <n v="25.207666666670001"/>
        <n v="20.731884057969999"/>
        <n v="18.688181818179999"/>
        <n v="18.51978947368"/>
        <n v="19.154812409809999"/>
        <n v="19.97523684211"/>
        <n v="23.64066666667"/>
        <n v="25.434242424240001"/>
        <n v="25.672345191040002"/>
        <n v="24.48805750487"/>
        <n v="25.754748102139999"/>
        <n v="26.775800865800001"/>
        <n v="28.280793650789999"/>
        <n v="27.526811594200002"/>
        <n v="24.542481203009999"/>
        <n v="27.88698412698"/>
        <n v="30.750317460320002"/>
        <n v="32.883377192979999"/>
        <n v="30.359206349210002"/>
        <n v="25.555968253970001"/>
        <n v="26.064912698410001"/>
        <n v="27.91714285714"/>
        <n v="28.591587615280002"/>
        <n v="29.675555555559999"/>
        <n v="26.882330447329998"/>
        <n v="29.014492753620001"/>
        <n v="29.122740740739999"/>
        <n v="29.969206349210001"/>
        <n v="31.367719298250002"/>
        <n v="31.331333333330001"/>
        <n v="33.665072463770002"/>
        <n v="33.711392496389998"/>
        <n v="37.557898913949998"/>
        <n v="35.542741702740003"/>
        <n v="37.891998557000001"/>
        <n v="42.084069264070003"/>
        <n v="41.596825396829999"/>
        <n v="46.881111111110002"/>
        <n v="42.12554545455"/>
        <n v="39.044944444439999"/>
        <n v="42.97227777778"/>
        <n v="44.818210526320001"/>
        <n v="50.942878787879998"/>
        <n v="50.640476190480001"/>
        <n v="47.826572871570001"/>
        <n v="53.890303030299997"/>
        <n v="56.36580952381"/>
        <n v="61.890520421609999"/>
        <n v="61.687698412700001"/>
        <n v="58.18507936508"/>
        <n v="55.042825396829997"/>
        <n v="56.429642857140003"/>
        <n v="62.45703968254"/>
        <n v="59.704921052629999"/>
        <n v="60.929275362319999"/>
        <n v="67.970575048729998"/>
        <n v="68.675948616599996"/>
        <n v="68.290151515150001"/>
        <n v="72.450133667499998"/>
        <n v="71.811884057970005"/>
        <n v="62.121253968250002"/>
        <n v="57.910468975470003"/>
        <n v="58.143045454549998"/>
        <n v="60.994412280699997"/>
        <n v="53.516969696970001"/>
        <n v="57.5625"/>
        <n v="60.59984848485"/>
        <n v="65.057640350880007"/>
        <n v="65.157259552040003"/>
        <n v="68.188095238100004"/>
        <n v="73.601695526699999"/>
        <n v="70.126811594200007"/>
        <n v="76.76243859649"/>
        <n v="81.967246376809996"/>
        <n v="91.338261183260002"/>
        <n v="89.519941520469999"/>
        <n v="90.689935064940002"/>
        <n v="93.387590643270002"/>
        <n v="101.84283333333001"/>
        <n v="108.75818181818001"/>
        <n v="122.63260894661001"/>
        <n v="131.52111111111"/>
        <n v="132.82518445323001"/>
        <n v="114.56682539683"/>
        <n v="99.656767676770002"/>
        <n v="72.692753623190001"/>
        <n v="53.972728070179997"/>
        <n v="41.338924963929998"/>
        <n v="43.855214285709998"/>
        <n v="41.843675438600002"/>
        <n v="46.645303030299999"/>
        <n v="50.278095238100001"/>
        <n v="58.153888888890002"/>
        <n v="69.149696969700003"/>
        <n v="64.666673254279999"/>
        <n v="71.629682539680005"/>
        <n v="68.346111111110005"/>
        <n v="74.080606060609995"/>
        <n v="77.552301587299993"/>
        <n v="74.881818181819995"/>
        <n v="77.121087719299993"/>
        <n v="74.763015594539993"/>
        <n v="79.297681159419994"/>
        <n v="84.182857142860001"/>
        <n v="75.61831746032"/>
        <n v="74.724999999999994"/>
        <n v="74.579401154400003"/>
        <n v="75.826269841270005"/>
        <n v="76.116240981239997"/>
        <n v="81.719365079369993"/>
        <n v="84.53406349206"/>
        <n v="90.005961791830003"/>
        <n v="92.690595238100002"/>
        <n v="97.914192007799997"/>
        <n v="108.64521739129999"/>
        <n v="116.24316666667001"/>
        <n v="108.06851298701"/>
        <n v="105.84545454546"/>
        <n v="107.91661111111"/>
        <n v="100.48642512076999"/>
        <n v="100.81935064935"/>
        <n v="99.847753968250004"/>
        <n v="105.40501443001"/>
        <n v="104.23047619048"/>
        <n v="107.07457226399001"/>
        <n v="112.68752380952"/>
        <n v="117.785"/>
        <n v="113.66549999999999"/>
        <n v="104.0860342556"/>
        <n v="90.728253968250002"/>
        <n v="96.754112554109994"/>
        <n v="105.27363699103"/>
        <n v="106.28496491228"/>
        <n v="103.40786561265"/>
        <n v="101.17441558442"/>
        <n v="101.19366666667"/>
        <n v="105.10021645022"/>
        <n v="107.63743567252"/>
        <n v="102.52249999999999"/>
        <n v="98.851969696970002"/>
        <n v="99.366633414890003"/>
        <n v="99.742666666670004"/>
        <n v="105.25790513834001"/>
        <n v="108.15763636363999"/>
        <n v="108.75773015873"/>
        <n v="105.42713438734999"/>
        <n v="102.62649122806999"/>
        <n v="105.48165079365"/>
        <n v="102.09666666667"/>
        <n v="104.82666666666999"/>
        <n v="104.04"/>
        <n v="104.86666666667"/>
        <n v="105.71333333333"/>
        <n v="108.37333333333"/>
        <n v="105.22666666667"/>
        <n v="100.05"/>
        <n v="95.85"/>
        <n v="86.08"/>
        <n v="76.99333333333"/>
        <n v="60.703333333330001"/>
        <n v="47.106666666670002"/>
        <n v="54.79"/>
        <n v="52.82666666667"/>
        <n v="57.543333333329997"/>
        <n v="62.50666666667"/>
        <n v="61.306666666669997"/>
        <n v="54.34"/>
        <n v="45.69"/>
        <n v="46.28"/>
        <n v="46.956666666670003"/>
        <n v="43.113333333329997"/>
        <n v="36.573333333329998"/>
        <n v="29.78"/>
        <n v="31.03"/>
        <n v="37.340000000000003"/>
        <n v="45.93666666667"/>
        <n v="47.68666666667"/>
        <n v="44.126666666669998"/>
        <n v="44.876666666669998"/>
        <n v="45.043333333329997"/>
        <n v="49.293333333329997"/>
        <n v="45.26"/>
        <n v="52.62"/>
        <n v="53.59"/>
        <n v="54.353333333329999"/>
        <n v="50.903333333330004"/>
        <n v="52.163333333330002"/>
        <n v="49.893333333329998"/>
        <n v="46.166666666669997"/>
        <n v="47.656666666669999"/>
        <n v="49.943333333330003"/>
        <n v="52.95"/>
        <n v="54.92"/>
        <n v="59.933333333329998"/>
        <n v="61.18666666667"/>
        <n v="66.226666666669999"/>
        <n v="63.46"/>
        <n v="64.166666666669997"/>
        <n v="68.793333333329997"/>
        <n v="73.430000000000007"/>
        <n v="71.976666666669999"/>
        <n v="72.666666666669997"/>
        <n v="71.083333333330003"/>
        <n v="75.363333333330004"/>
        <n v="76.726666666669999"/>
        <n v="62.316666666670002"/>
        <n v="53.96"/>
        <n v="56.583333333330003"/>
        <n v="61.13333333333"/>
        <n v="63.786666666670001"/>
        <n v="68.576666666669993"/>
        <n v="66.833333333330003"/>
        <n v="59.76"/>
        <n v="61.476666666669999"/>
        <n v="57.67"/>
        <n v="60.04"/>
        <n v="57.273333333330001"/>
        <n v="60.403333333330004"/>
        <n v="63.353333333329999"/>
        <n v="61.626666666669998"/>
        <n v="53.346666666669996"/>
        <n v="32.203333333330001"/>
        <n v="21.043333333330001"/>
        <n v="30.38"/>
        <n v="39.456666666670003"/>
        <n v="42.066666666670002"/>
        <n v="43.443333333330003"/>
        <n v="40.596666666669996"/>
        <n v="39.9"/>
        <n v="42.303333333330002"/>
        <n v="48.726666666669999"/>
        <n v="53.603333333329999"/>
        <n v="60.463333333329999"/>
        <n v="63.83"/>
        <n v="62.95"/>
        <n v="66.400000000000006"/>
        <n v="71.803333333330002"/>
        <n v="73.283333333330006"/>
        <n v="68.86666666667"/>
        <n v="72.8"/>
        <n v="82.063333333329993"/>
        <n v="79.916666666669997"/>
        <n v="72.86666666667"/>
        <n v="83.92"/>
        <n v="93.543333333329997"/>
        <n v="112.39666666667"/>
        <n v="103.41333333333"/>
        <n v="110.09666666667"/>
        <n v="116.8"/>
        <n v="105.08333333333"/>
        <n v="95.973333333330004"/>
        <n v="88.22"/>
        <n v="90.326666666669993"/>
        <n v="87.376666666670005"/>
        <n v="78.066666666670002"/>
        <n v="80.41"/>
        <n v="80.253333333330005"/>
        <n v="76.473333333330004"/>
        <n v="82.46"/>
        <n v="74.123333333329995"/>
        <n v="73.263333333329996"/>
        <n v="78.983333333329995"/>
        <n v="84.724333333329994"/>
        <n v="92.22"/>
        <n v="89.083666666669998"/>
        <n v="81.354333333330004"/>
        <n v="75.719333333329999"/>
        <n v="77.672333333330002"/>
        <n v="80.548000000000002"/>
        <n v="83.545666666670002"/>
        <n v="88.011333333330001"/>
        <n v="81.444999999999993"/>
        <n v="81.204999999999998"/>
        <n v="83.258666666669995"/>
        <n v="78.120999999999995"/>
        <n v="72.424333333329997"/>
        <n v="73.970666666669999"/>
        <n v="72.291666666669997"/>
        <n v="72.311000000000007"/>
        <n v="67.650000000000006"/>
        <n v="66.010000000000005"/>
        <n v="68.2"/>
        <n v="62.97"/>
        <n v="60.85"/>
        <n v="67.86"/>
        <n v="66.97"/>
        <n v="64.209999999999994"/>
        <n v="63.51"/>
        <n v="60.05"/>
        <n v="59.46"/>
        <n v="57.95"/>
        <n v="64.47"/>
        <n v="87.84"/>
      </sharedItems>
    </cacheField>
    <cacheField name="Price_change" numFmtId="0">
      <sharedItems containsSemiMixedTypes="0" containsString="0" containsNumber="1" minValue="-26.96" maxValue="23.37"/>
    </cacheField>
    <cacheField name="%_change" numFmtId="0">
      <sharedItems containsSemiMixedTypes="0" containsString="0" containsNumber="1" minValue="-39.630000000000003" maxValue="217.07" count="520">
        <n v="0"/>
        <n v="35.54"/>
        <n v="6.1"/>
        <n v="1.72"/>
        <n v="5.65"/>
        <n v="11.23"/>
        <n v="12.98"/>
        <n v="14.89"/>
        <n v="51.85"/>
        <n v="217.07"/>
        <n v="-18.46"/>
        <n v="-5.66"/>
        <n v="3"/>
        <n v="1.17"/>
        <n v="0.1"/>
        <n v="0.28999999999999998"/>
        <n v="10.039999999999999"/>
        <n v="0.78"/>
        <n v="2.59"/>
        <n v="5.04"/>
        <n v="-0.4"/>
        <n v="1.45"/>
        <n v="0.4"/>
        <n v="-0.16"/>
        <n v="0.16"/>
        <n v="0.24"/>
        <n v="0.31"/>
        <n v="0.08"/>
        <n v="0.39"/>
        <n v="2.72"/>
        <n v="9.85"/>
        <n v="20.34"/>
        <n v="18.91"/>
        <n v="6.14"/>
        <n v="1.82"/>
        <n v="49.39"/>
        <n v="3.51"/>
        <n v="-3.39"/>
        <n v="1.49"/>
        <n v="4.41"/>
        <n v="4.93"/>
        <n v="9.4"/>
        <n v="-2.4500000000000002"/>
        <n v="-1.89"/>
        <n v="-4.49"/>
        <n v="-0.67"/>
        <n v="-1.1499999999999999"/>
        <n v="1.3"/>
        <n v="-0.13"/>
        <n v="-4.3899999999999997"/>
        <n v="-6.86"/>
        <n v="-0.38"/>
        <n v="13.79"/>
        <n v="7.9"/>
        <n v="-1.36"/>
        <n v="0.06"/>
        <n v="-4.71"/>
        <n v="-0.79"/>
        <n v="-3.27"/>
        <n v="-5.73"/>
        <n v="-4.59"/>
        <n v="2.4500000000000002"/>
        <n v="1.42"/>
        <n v="1.84"/>
        <n v="3.09"/>
        <n v="-0.76"/>
        <n v="-1.02"/>
        <n v="-7.92"/>
        <n v="-6.53"/>
        <n v="4.6399999999999997"/>
        <n v="4.68"/>
        <n v="-0.84"/>
        <n v="0.46"/>
        <n v="-1.52"/>
        <n v="3.24"/>
        <n v="0.95"/>
        <n v="-2.76"/>
        <n v="-4.21"/>
        <n v="-2.58"/>
        <n v="-5.0199999999999996"/>
        <n v="-2.72"/>
        <n v="4.8499999999999996"/>
        <n v="-1.1200000000000001"/>
        <n v="2.0699999999999998"/>
        <n v="1.67"/>
        <n v="0.61"/>
        <n v="-1.9"/>
        <n v="-1.51"/>
        <n v="-1.21"/>
        <n v="0.8"/>
        <n v="0.55000000000000004"/>
        <n v="1.1299999999999999"/>
        <n v="0.14000000000000001"/>
        <n v="-1.39"/>
        <n v="-3.66"/>
        <n v="0.66"/>
        <n v="0.65"/>
        <n v="-1.76"/>
        <n v="-0.73"/>
        <n v="-3.03"/>
        <n v="3.63"/>
        <n v="0.91"/>
        <n v="-0.18"/>
        <n v="-4.1399999999999997"/>
        <n v="-1.06"/>
        <n v="2.4"/>
        <n v="-0.12"/>
        <n v="2.82"/>
        <n v="-7.34"/>
        <n v="-35.520000000000003"/>
        <n v="-20.52"/>
        <n v="-5.93"/>
        <n v="15.27"/>
        <n v="-13.61"/>
        <n v="-18.850000000000001"/>
        <n v="42.46"/>
        <n v="2.8"/>
        <n v="-0.95"/>
        <n v="3.58"/>
        <n v="8.5399999999999991"/>
        <n v="15.2"/>
        <n v="-4.5199999999999996"/>
        <n v="2.9"/>
        <n v="0.85"/>
        <n v="2.79"/>
        <n v="4.8099999999999996"/>
        <n v="-4.08"/>
        <n v="-2.83"/>
        <n v="1.55"/>
        <n v="-4.4000000000000004"/>
        <n v="-6.29"/>
        <n v="-1"/>
        <n v="-3.74"/>
        <n v="-6.73"/>
        <n v="11.39"/>
        <n v="-5.45"/>
        <n v="-5.54"/>
        <n v="-9.9700000000000006"/>
        <n v="-7"/>
        <n v="2.87"/>
        <n v="16.89"/>
        <n v="12.51"/>
        <n v="-0.81"/>
        <n v="10.3"/>
        <n v="6.47"/>
        <n v="-6.16"/>
        <n v="-2.13"/>
        <n v="0.19"/>
        <n v="-4.43"/>
        <n v="4.25"/>
        <n v="-0.27"/>
        <n v="5.35"/>
        <n v="5.17"/>
        <n v="-3.69"/>
        <n v="-7.06"/>
        <n v="-9.15"/>
        <n v="0.2"/>
        <n v="-7.94"/>
        <n v="12.45"/>
        <n v="53.79"/>
        <n v="23.86"/>
        <n v="5.5"/>
        <n v="-9.9"/>
        <n v="-15.92"/>
        <n v="-13.58"/>
        <n v="-19.7"/>
        <n v="-0.37"/>
        <n v="2.21"/>
        <n v="1.9"/>
        <n v="-4.6900000000000004"/>
        <n v="6.23"/>
        <n v="1.66"/>
        <n v="3.53"/>
        <n v="7.07"/>
        <n v="-3.26"/>
        <n v="-14.53"/>
        <n v="-2.0699999999999998"/>
        <n v="1.34"/>
        <n v="6.78"/>
        <n v="4.6500000000000004"/>
        <n v="6.84"/>
        <n v="-3.2"/>
        <n v="-2.73"/>
        <n v="-0.33"/>
        <n v="-5.98"/>
        <n v="-5.03"/>
        <n v="-4"/>
        <n v="5.52"/>
        <n v="1.65"/>
        <n v="-1.45"/>
        <n v="-3.85"/>
        <n v="-6.58"/>
        <n v="1.02"/>
        <n v="-3.54"/>
        <n v="3.88"/>
        <n v="-7.97"/>
        <n v="-9.43"/>
        <n v="2.66"/>
        <n v="-2.48"/>
        <n v="10.77"/>
        <n v="7.96"/>
        <n v="5.42"/>
        <n v="4.17"/>
        <n v="-4.9400000000000004"/>
        <n v="3.74"/>
        <n v="-6.69"/>
        <n v="6.02"/>
        <n v="3.06"/>
        <n v="7.49"/>
        <n v="-1.2"/>
        <n v="-5.75"/>
        <n v="-7.37"/>
        <n v="2.38"/>
        <n v="2.15"/>
        <n v="3.85"/>
        <n v="6.71"/>
        <n v="-0.57999999999999996"/>
        <n v="9.6300000000000008"/>
        <n v="6.49"/>
        <n v="-7.73"/>
        <n v="-2.89"/>
        <n v="5.8"/>
        <n v="4.3600000000000003"/>
        <n v="8.89"/>
        <n v="6.08"/>
        <n v="-5.17"/>
        <n v="5.51"/>
        <n v="-1.68"/>
        <n v="-12.08"/>
        <n v="-5.34"/>
        <n v="-7.5"/>
        <n v="8.32"/>
        <n v="-7.47"/>
        <n v="2.29"/>
        <n v="2.02"/>
        <n v="-0.2"/>
        <n v="7.39"/>
        <n v="-4.76"/>
        <n v="-10.46"/>
        <n v="-12.23"/>
        <n v="-6"/>
        <n v="-6.93"/>
        <n v="3.9"/>
        <n v="-11.03"/>
        <n v="1.77"/>
        <n v="-1.67"/>
        <n v="10.53"/>
        <n v="-3.91"/>
        <n v="-10.43"/>
        <n v="-12.37"/>
        <n v="9.93"/>
        <n v="-6.03"/>
        <n v="22.44"/>
        <n v="20.51"/>
        <n v="1.24"/>
        <n v="2.0499999999999998"/>
        <n v="15.82"/>
        <n v="6.76"/>
        <n v="11.99"/>
        <n v="-3.3"/>
        <n v="10.08"/>
        <n v="0.84"/>
        <n v="7.55"/>
        <n v="0.99"/>
        <n v="-14.62"/>
        <n v="15.84"/>
        <n v="8.9499999999999993"/>
        <n v="-4.88"/>
        <n v="3.86"/>
        <n v="9.64"/>
        <n v="2.96"/>
        <n v="-22.04"/>
        <n v="2.99"/>
        <n v="4.9400000000000004"/>
        <n v="-8.14"/>
        <n v="2.78"/>
        <n v="7.11"/>
        <n v="-2.11"/>
        <n v="-8.02"/>
        <n v="4.0999999999999996"/>
        <n v="-2.38"/>
        <n v="-17.760000000000002"/>
        <n v="-9.86"/>
        <n v="-0.9"/>
        <n v="3.43"/>
        <n v="4.28"/>
        <n v="18.350000000000001"/>
        <n v="7.59"/>
        <n v="0.94"/>
        <n v="-4.6100000000000003"/>
        <n v="3.96"/>
        <n v="5.62"/>
        <n v="-2.67"/>
        <n v="-10.84"/>
        <n v="13.63"/>
        <n v="10.27"/>
        <n v="6.94"/>
        <n v="-7.68"/>
        <n v="-15.82"/>
        <n v="1.99"/>
        <n v="2.42"/>
        <n v="3.79"/>
        <n v="-9.41"/>
        <n v="7.93"/>
        <n v="0.37"/>
        <n v="2.91"/>
        <n v="4.67"/>
        <n v="7.45"/>
        <n v="11.41"/>
        <n v="-5.37"/>
        <n v="6.61"/>
        <n v="11.06"/>
        <n v="-1.1599999999999999"/>
        <n v="12.7"/>
        <n v="-10.14"/>
        <n v="-7.31"/>
        <n v="10.06"/>
        <n v="4.3"/>
        <n v="13.67"/>
        <n v="-0.59"/>
        <n v="-5.56"/>
        <n v="12.68"/>
        <n v="4.59"/>
        <n v="9.8000000000000007"/>
        <n v="-5.68"/>
        <n v="-5.4"/>
        <n v="2.52"/>
        <n v="10.68"/>
        <n v="-4.41"/>
        <n v="11.56"/>
        <n v="1.04"/>
        <n v="-0.56000000000000005"/>
        <n v="6.09"/>
        <n v="-0.88"/>
        <n v="-13.49"/>
        <n v="-6.78"/>
        <n v="4.9000000000000004"/>
        <n v="-12.26"/>
        <n v="7.56"/>
        <n v="5.28"/>
        <n v="7.36"/>
        <n v="0.15"/>
        <n v="7.94"/>
        <n v="-4.72"/>
        <n v="9.4600000000000009"/>
        <n v="11.43"/>
        <n v="-1.99"/>
        <n v="1.31"/>
        <n v="2.97"/>
        <n v="9.0500000000000007"/>
        <n v="6.79"/>
        <n v="12.76"/>
        <n v="7.25"/>
        <n v="-13.75"/>
        <n v="-13.01"/>
        <n v="-27.06"/>
        <n v="-25.75"/>
        <n v="-23.41"/>
        <n v="11.48"/>
        <n v="7.79"/>
        <n v="15.66"/>
        <n v="-6.48"/>
        <n v="-4.58"/>
        <n v="8.39"/>
        <n v="4.6900000000000004"/>
        <n v="-3.44"/>
        <n v="-3.06"/>
        <n v="6.07"/>
        <n v="6.16"/>
        <n v="-10.17"/>
        <n v="-1.18"/>
        <n v="-0.19"/>
        <n v="0.38"/>
        <n v="3.44"/>
        <n v="2.98"/>
        <n v="5.64"/>
        <n v="10.96"/>
        <n v="6.99"/>
        <n v="-7.03"/>
        <n v="-2.06"/>
        <n v="1.96"/>
        <n v="-6.89"/>
        <n v="0.33"/>
        <n v="-0.96"/>
        <n v="5.57"/>
        <n v="-1.1100000000000001"/>
        <n v="2.73"/>
        <n v="5.24"/>
        <n v="4.5199999999999996"/>
        <n v="-3.5"/>
        <n v="-8.43"/>
        <n v="-12.83"/>
        <n v="6.64"/>
        <n v="8.81"/>
        <n v="0.96"/>
        <n v="-2.71"/>
        <n v="-2.16"/>
        <n v="0.02"/>
        <n v="2.41"/>
        <n v="-4.75"/>
        <n v="-3.58"/>
        <n v="0.52"/>
        <n v="5.53"/>
        <n v="2.75"/>
        <n v="-2.66"/>
        <n v="-3.21"/>
        <n v="2.67"/>
        <n v="-0.75"/>
        <n v="0.79"/>
        <n v="0.81"/>
        <n v="-2.9"/>
        <n v="-4.92"/>
        <n v="-4.2"/>
        <n v="-10.19"/>
        <n v="-10.56"/>
        <n v="-21.16"/>
        <n v="-22.4"/>
        <n v="16.309999999999999"/>
        <n v="8.93"/>
        <n v="8.6300000000000008"/>
        <n v="-1.92"/>
        <n v="-11.36"/>
        <n v="1.29"/>
        <n v="1.46"/>
        <n v="-8.18"/>
        <n v="-15.17"/>
        <n v="-18.57"/>
        <n v="4.2"/>
        <n v="9.1300000000000008"/>
        <n v="12.73"/>
        <n v="3.81"/>
        <n v="1.7"/>
        <n v="9.44"/>
        <n v="16.260000000000002"/>
        <n v="-6.35"/>
        <n v="2.48"/>
        <n v="-4.3499999999999996"/>
        <n v="3.23"/>
        <n v="4.8"/>
        <n v="3.72"/>
        <n v="2.09"/>
        <n v="8.24"/>
        <n v="-4.18"/>
        <n v="1.1100000000000001"/>
        <n v="7.21"/>
        <n v="6.74"/>
        <n v="-1.98"/>
        <n v="-2.1800000000000002"/>
        <n v="1.81"/>
        <n v="-18.78"/>
        <n v="-13.41"/>
        <n v="4.8600000000000003"/>
        <n v="8.0399999999999991"/>
        <n v="4.34"/>
        <n v="7.51"/>
        <n v="-2.54"/>
        <n v="-10.58"/>
        <n v="-6.19"/>
        <n v="4.1100000000000003"/>
        <n v="5.47"/>
        <n v="4.88"/>
        <n v="-13.44"/>
        <n v="-39.630000000000003"/>
        <n v="-34.65"/>
        <n v="44.37"/>
        <n v="29.88"/>
        <n v="3.27"/>
        <n v="-6.55"/>
        <n v="-1.72"/>
        <n v="15.18"/>
        <n v="10.01"/>
        <n v="12.8"/>
        <n v="-1.38"/>
        <n v="5.48"/>
        <n v="8.14"/>
        <n v="2.06"/>
        <n v="5.71"/>
        <n v="12.72"/>
        <n v="-2.62"/>
        <n v="-8.82"/>
        <n v="15.17"/>
        <n v="11.47"/>
        <n v="20.149999999999999"/>
        <n v="-7.99"/>
        <n v="6.46"/>
        <n v="-10.029999999999999"/>
        <n v="-8.67"/>
        <n v="-8.08"/>
        <n v="2.39"/>
        <n v="-10.66"/>
        <n v="7.83"/>
        <n v="-10.11"/>
        <n v="7.81"/>
        <n v="7.27"/>
        <n v="8.85"/>
        <n v="-3.4"/>
        <n v="-8.68"/>
        <n v="2.58"/>
        <n v="3.7"/>
        <n v="-7.46"/>
        <n v="-0.28999999999999998"/>
        <n v="2.5299999999999998"/>
        <n v="-6.17"/>
        <n v="-7.29"/>
        <n v="2.14"/>
        <n v="-2.27"/>
        <n v="0.03"/>
        <n v="-6.45"/>
        <n v="-2.42"/>
        <n v="3.32"/>
        <n v="-7.67"/>
        <n v="-3.37"/>
        <n v="11.52"/>
        <n v="-1.31"/>
        <n v="-4.12"/>
        <n v="-1.0900000000000001"/>
        <n v="-0.98"/>
        <n v="3.61"/>
        <n v="7.38"/>
        <n v="36.25"/>
      </sharedItems>
    </cacheField>
    <cacheField name="Trend Analysis" numFmtId="0">
      <sharedItems count="4">
        <s v="LITTLE IMPACT"/>
        <s v="HIGH IMPACT"/>
        <s v="MID IMPACT"/>
        <s v="SEVERE IMPACT"/>
      </sharedItems>
    </cacheField>
  </cacheFields>
  <extLst>
    <ext xmlns:x14="http://schemas.microsoft.com/office/spreadsheetml/2009/9/main" uri="{725AE2AE-9491-48be-B2B4-4EB974FC3084}">
      <x14:pivotCacheDefinition pivotCacheId="2236988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S" refreshedDate="46111.657441782409" backgroundQuery="1" createdVersion="7" refreshedVersion="7" minRefreshableVersion="3" recordCount="0" supportSubquery="1" supportAdvancedDrill="1" xr:uid="{93A56E02-D791-4F30-A982-D9191C8B2D5B}">
  <cacheSource type="external" connectionId="1"/>
  <cacheFields count="2">
    <cacheField name="[Fuel_prices].[Quarter].[Quarter]" caption="Quarter" numFmtId="0" hierarchy="1" level="1">
      <sharedItems count="4">
        <s v="Q1"/>
        <s v="Q2"/>
        <s v="Q3"/>
        <s v="Q4"/>
      </sharedItems>
    </cacheField>
    <cacheField name="[Measures].[Average of %_change]" caption="Average of %_change" numFmtId="0" hierarchy="12" level="32767"/>
  </cacheFields>
  <cacheHierarchies count="13">
    <cacheHierarchy uniqueName="[Fuel_prices].[Date]" caption="Date" attribute="1" time="1" defaultMemberUniqueName="[Fuel_prices].[Date].[All]" allUniqueName="[Fuel_prices].[Date].[All]" dimensionUniqueName="[Fuel_prices]" displayFolder="" count="2" memberValueDatatype="7" unbalanced="0"/>
    <cacheHierarchy uniqueName="[Fuel_prices].[Quarter]" caption="Quarter" attribute="1" defaultMemberUniqueName="[Fuel_prices].[Quarter].[All]" allUniqueName="[Fuel_prices].[Quarter].[All]" dimensionUniqueName="[Fuel_prices]" displayFolder="" count="2" memberValueDatatype="130" unbalanced="0">
      <fieldsUsage count="2">
        <fieldUsage x="-1"/>
        <fieldUsage x="0"/>
      </fieldsUsage>
    </cacheHierarchy>
    <cacheHierarchy uniqueName="[Fuel_prices].[Month]" caption="Month" attribute="1" defaultMemberUniqueName="[Fuel_prices].[Month].[All]" allUniqueName="[Fuel_prices].[Month].[All]" dimensionUniqueName="[Fuel_prices]" displayFolder="" count="2" memberValueDatatype="20" unbalanced="0"/>
    <cacheHierarchy uniqueName="[Fuel_prices].[MonthName]" caption="MonthName" attribute="1" defaultMemberUniqueName="[Fuel_prices].[MonthName].[All]" allUniqueName="[Fuel_prices].[MonthName].[All]" dimensionUniqueName="[Fuel_prices]" displayFolder="" count="2" memberValueDatatype="130" unbalanced="0"/>
    <cacheHierarchy uniqueName="[Fuel_prices].[Year]" caption="Year" attribute="1" defaultMemberUniqueName="[Fuel_prices].[Year].[All]" allUniqueName="[Fuel_prices].[Year].[All]" dimensionUniqueName="[Fuel_prices]" displayFolder="" count="2" memberValueDatatype="20" unbalanced="0"/>
    <cacheHierarchy uniqueName="[Fuel_prices].[Crude_Oil_Price]" caption="Crude_Oil_Price" attribute="1" defaultMemberUniqueName="[Fuel_prices].[Crude_Oil_Price].[All]" allUniqueName="[Fuel_prices].[Crude_Oil_Price].[All]" dimensionUniqueName="[Fuel_prices]" displayFolder="" count="2" memberValueDatatype="5" unbalanced="0"/>
    <cacheHierarchy uniqueName="[Fuel_prices].[Price_change]" caption="Price_change" attribute="1" defaultMemberUniqueName="[Fuel_prices].[Price_change].[All]" allUniqueName="[Fuel_prices].[Price_change].[All]" dimensionUniqueName="[Fuel_prices]" displayFolder="" count="2" memberValueDatatype="5" unbalanced="0"/>
    <cacheHierarchy uniqueName="[Fuel_prices].[%_change]" caption="%_change" attribute="1" defaultMemberUniqueName="[Fuel_prices].[%_change].[All]" allUniqueName="[Fuel_prices].[%_change].[All]" dimensionUniqueName="[Fuel_prices]" displayFolder="" count="2" memberValueDatatype="5" unbalanced="0"/>
    <cacheHierarchy uniqueName="[Fuel_prices].[Trend Analysis]" caption="Trend Analysis" attribute="1" defaultMemberUniqueName="[Fuel_prices].[Trend Analysis].[All]" allUniqueName="[Fuel_prices].[Trend Analysis].[All]" dimensionUniqueName="[Fuel_prices]" displayFolder="" count="2" memberValueDatatype="130" unbalanced="0"/>
    <cacheHierarchy uniqueName="[Measures].[__XL_Count Fuel_prices]" caption="__XL_Count Fuel_prices" measure="1" displayFolder="" measureGroup="Fuel_prices" count="0" hidden="1"/>
    <cacheHierarchy uniqueName="[Measures].[__No measures defined]" caption="__No measures defined" measure="1" displayFolder="" count="0" hidden="1"/>
    <cacheHierarchy uniqueName="[Measures].[Sum of %_change]" caption="Sum of %_change" measure="1" displayFolder="" measureGroup="Fuel_prices" count="0" hidden="1">
      <extLst>
        <ext xmlns:x15="http://schemas.microsoft.com/office/spreadsheetml/2010/11/main" uri="{B97F6D7D-B522-45F9-BDA1-12C45D357490}">
          <x15:cacheHierarchy aggregatedColumn="7"/>
        </ext>
      </extLst>
    </cacheHierarchy>
    <cacheHierarchy uniqueName="[Measures].[Average of %_change]" caption="Average of %_change" measure="1" displayFolder="" measureGroup="Fuel_price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name="Fuel_prices" uniqueName="[Fuel_prices]" caption="Fuel_prices"/>
    <dimension measure="1" name="Measures" uniqueName="[Measures]" caption="Measures"/>
  </dimensions>
  <measureGroups count="1">
    <measureGroup name="Fuel_prices" caption="Fuel_pric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S" refreshedDate="46111.656130324074" backgroundQuery="1" createdVersion="3" refreshedVersion="7" minRefreshableVersion="3" recordCount="0" supportSubquery="1" supportAdvancedDrill="1" xr:uid="{1A490D3F-2D66-4DFF-AC59-1AFB8D54475B}">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Fuel_prices].[Date]" caption="Date" attribute="1" time="1" defaultMemberUniqueName="[Fuel_prices].[Date].[All]" allUniqueName="[Fuel_prices].[Date].[All]" dimensionUniqueName="[Fuel_prices]" displayFolder="" count="0" memberValueDatatype="7" unbalanced="0"/>
    <cacheHierarchy uniqueName="[Fuel_prices].[Quarter]" caption="Quarter" attribute="1" defaultMemberUniqueName="[Fuel_prices].[Quarter].[All]" allUniqueName="[Fuel_prices].[Quarter].[All]" dimensionUniqueName="[Fuel_prices]" displayFolder="" count="2" memberValueDatatype="130" unbalanced="0"/>
    <cacheHierarchy uniqueName="[Fuel_prices].[Month]" caption="Month" attribute="1" defaultMemberUniqueName="[Fuel_prices].[Month].[All]" allUniqueName="[Fuel_prices].[Month].[All]" dimensionUniqueName="[Fuel_prices]" displayFolder="" count="0" memberValueDatatype="20" unbalanced="0"/>
    <cacheHierarchy uniqueName="[Fuel_prices].[MonthName]" caption="MonthName" attribute="1" defaultMemberUniqueName="[Fuel_prices].[MonthName].[All]" allUniqueName="[Fuel_prices].[MonthName].[All]" dimensionUniqueName="[Fuel_prices]" displayFolder="" count="0" memberValueDatatype="130" unbalanced="0"/>
    <cacheHierarchy uniqueName="[Fuel_prices].[Year]" caption="Year" attribute="1" defaultMemberUniqueName="[Fuel_prices].[Year].[All]" allUniqueName="[Fuel_prices].[Year].[All]" dimensionUniqueName="[Fuel_prices]" displayFolder="" count="0" memberValueDatatype="20" unbalanced="0"/>
    <cacheHierarchy uniqueName="[Fuel_prices].[Crude_Oil_Price]" caption="Crude_Oil_Price" attribute="1" defaultMemberUniqueName="[Fuel_prices].[Crude_Oil_Price].[All]" allUniqueName="[Fuel_prices].[Crude_Oil_Price].[All]" dimensionUniqueName="[Fuel_prices]" displayFolder="" count="0" memberValueDatatype="5" unbalanced="0"/>
    <cacheHierarchy uniqueName="[Fuel_prices].[Price_change]" caption="Price_change" attribute="1" defaultMemberUniqueName="[Fuel_prices].[Price_change].[All]" allUniqueName="[Fuel_prices].[Price_change].[All]" dimensionUniqueName="[Fuel_prices]" displayFolder="" count="0" memberValueDatatype="5" unbalanced="0"/>
    <cacheHierarchy uniqueName="[Fuel_prices].[%_change]" caption="%_change" attribute="1" defaultMemberUniqueName="[Fuel_prices].[%_change].[All]" allUniqueName="[Fuel_prices].[%_change].[All]" dimensionUniqueName="[Fuel_prices]" displayFolder="" count="0" memberValueDatatype="5" unbalanced="0"/>
    <cacheHierarchy uniqueName="[Fuel_prices].[Trend Analysis]" caption="Trend Analysis" attribute="1" defaultMemberUniqueName="[Fuel_prices].[Trend Analysis].[All]" allUniqueName="[Fuel_prices].[Trend Analysis].[All]" dimensionUniqueName="[Fuel_prices]" displayFolder="" count="0" memberValueDatatype="130" unbalanced="0"/>
    <cacheHierarchy uniqueName="[Measures].[__XL_Count Fuel_prices]" caption="__XL_Count Fuel_prices" measure="1" displayFolder="" measureGroup="Fuel_prices" count="0" hidden="1"/>
    <cacheHierarchy uniqueName="[Measures].[__No measures defined]" caption="__No measures defined" measure="1" displayFolder="" count="0" hidden="1"/>
    <cacheHierarchy uniqueName="[Measures].[Sum of %_change]" caption="Sum of %_change" measure="1" displayFolder="" measureGroup="Fuel_prices" count="0" hidden="1">
      <extLst>
        <ext xmlns:x15="http://schemas.microsoft.com/office/spreadsheetml/2010/11/main" uri="{B97F6D7D-B522-45F9-BDA1-12C45D357490}">
          <x15:cacheHierarchy aggregatedColumn="7"/>
        </ext>
      </extLst>
    </cacheHierarchy>
    <cacheHierarchy uniqueName="[Measures].[Average of %_change]" caption="Average of %_change" measure="1" displayFolder="" measureGroup="Fuel_price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94779140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5">
  <r>
    <x v="0"/>
    <x v="0"/>
    <x v="0"/>
    <x v="0"/>
    <x v="0"/>
    <x v="0"/>
    <n v="0"/>
    <x v="0"/>
    <x v="0"/>
  </r>
  <r>
    <x v="1"/>
    <x v="0"/>
    <x v="1"/>
    <x v="1"/>
    <x v="0"/>
    <x v="0"/>
    <n v="0"/>
    <x v="0"/>
    <x v="0"/>
  </r>
  <r>
    <x v="2"/>
    <x v="0"/>
    <x v="2"/>
    <x v="2"/>
    <x v="0"/>
    <x v="0"/>
    <n v="0"/>
    <x v="0"/>
    <x v="0"/>
  </r>
  <r>
    <x v="3"/>
    <x v="1"/>
    <x v="3"/>
    <x v="3"/>
    <x v="0"/>
    <x v="0"/>
    <n v="0"/>
    <x v="0"/>
    <x v="0"/>
  </r>
  <r>
    <x v="4"/>
    <x v="1"/>
    <x v="4"/>
    <x v="4"/>
    <x v="0"/>
    <x v="0"/>
    <n v="0"/>
    <x v="0"/>
    <x v="0"/>
  </r>
  <r>
    <x v="5"/>
    <x v="1"/>
    <x v="5"/>
    <x v="5"/>
    <x v="0"/>
    <x v="0"/>
    <n v="0"/>
    <x v="0"/>
    <x v="0"/>
  </r>
  <r>
    <x v="6"/>
    <x v="2"/>
    <x v="6"/>
    <x v="6"/>
    <x v="0"/>
    <x v="0"/>
    <n v="0"/>
    <x v="0"/>
    <x v="0"/>
  </r>
  <r>
    <x v="7"/>
    <x v="2"/>
    <x v="7"/>
    <x v="7"/>
    <x v="0"/>
    <x v="0"/>
    <n v="0"/>
    <x v="0"/>
    <x v="0"/>
  </r>
  <r>
    <x v="8"/>
    <x v="2"/>
    <x v="8"/>
    <x v="8"/>
    <x v="0"/>
    <x v="0"/>
    <n v="0"/>
    <x v="0"/>
    <x v="0"/>
  </r>
  <r>
    <x v="9"/>
    <x v="3"/>
    <x v="9"/>
    <x v="9"/>
    <x v="0"/>
    <x v="0"/>
    <n v="0"/>
    <x v="0"/>
    <x v="0"/>
  </r>
  <r>
    <x v="10"/>
    <x v="3"/>
    <x v="10"/>
    <x v="10"/>
    <x v="0"/>
    <x v="0"/>
    <n v="0"/>
    <x v="0"/>
    <x v="0"/>
  </r>
  <r>
    <x v="11"/>
    <x v="3"/>
    <x v="11"/>
    <x v="11"/>
    <x v="0"/>
    <x v="0"/>
    <n v="0"/>
    <x v="0"/>
    <x v="0"/>
  </r>
  <r>
    <x v="12"/>
    <x v="0"/>
    <x v="0"/>
    <x v="0"/>
    <x v="1"/>
    <x v="1"/>
    <n v="0.43"/>
    <x v="1"/>
    <x v="1"/>
  </r>
  <r>
    <x v="13"/>
    <x v="0"/>
    <x v="1"/>
    <x v="1"/>
    <x v="1"/>
    <x v="1"/>
    <n v="0"/>
    <x v="0"/>
    <x v="0"/>
  </r>
  <r>
    <x v="14"/>
    <x v="0"/>
    <x v="2"/>
    <x v="2"/>
    <x v="1"/>
    <x v="1"/>
    <n v="0"/>
    <x v="0"/>
    <x v="0"/>
  </r>
  <r>
    <x v="15"/>
    <x v="1"/>
    <x v="3"/>
    <x v="3"/>
    <x v="1"/>
    <x v="1"/>
    <n v="0"/>
    <x v="0"/>
    <x v="0"/>
  </r>
  <r>
    <x v="16"/>
    <x v="1"/>
    <x v="4"/>
    <x v="4"/>
    <x v="1"/>
    <x v="1"/>
    <n v="0"/>
    <x v="0"/>
    <x v="0"/>
  </r>
  <r>
    <x v="17"/>
    <x v="1"/>
    <x v="5"/>
    <x v="5"/>
    <x v="1"/>
    <x v="1"/>
    <n v="0"/>
    <x v="0"/>
    <x v="0"/>
  </r>
  <r>
    <x v="18"/>
    <x v="2"/>
    <x v="6"/>
    <x v="6"/>
    <x v="1"/>
    <x v="2"/>
    <n v="0.1"/>
    <x v="2"/>
    <x v="2"/>
  </r>
  <r>
    <x v="19"/>
    <x v="2"/>
    <x v="7"/>
    <x v="7"/>
    <x v="1"/>
    <x v="2"/>
    <n v="0"/>
    <x v="0"/>
    <x v="0"/>
  </r>
  <r>
    <x v="20"/>
    <x v="2"/>
    <x v="8"/>
    <x v="8"/>
    <x v="1"/>
    <x v="2"/>
    <n v="0"/>
    <x v="0"/>
    <x v="0"/>
  </r>
  <r>
    <x v="21"/>
    <x v="3"/>
    <x v="9"/>
    <x v="9"/>
    <x v="1"/>
    <x v="2"/>
    <n v="0"/>
    <x v="0"/>
    <x v="0"/>
  </r>
  <r>
    <x v="22"/>
    <x v="3"/>
    <x v="10"/>
    <x v="10"/>
    <x v="1"/>
    <x v="2"/>
    <n v="0"/>
    <x v="0"/>
    <x v="0"/>
  </r>
  <r>
    <x v="23"/>
    <x v="3"/>
    <x v="11"/>
    <x v="11"/>
    <x v="1"/>
    <x v="2"/>
    <n v="0"/>
    <x v="0"/>
    <x v="0"/>
  </r>
  <r>
    <x v="24"/>
    <x v="0"/>
    <x v="0"/>
    <x v="0"/>
    <x v="2"/>
    <x v="3"/>
    <n v="0.03"/>
    <x v="3"/>
    <x v="0"/>
  </r>
  <r>
    <x v="25"/>
    <x v="0"/>
    <x v="1"/>
    <x v="1"/>
    <x v="2"/>
    <x v="3"/>
    <n v="0"/>
    <x v="0"/>
    <x v="0"/>
  </r>
  <r>
    <x v="26"/>
    <x v="0"/>
    <x v="2"/>
    <x v="2"/>
    <x v="2"/>
    <x v="3"/>
    <n v="0"/>
    <x v="0"/>
    <x v="0"/>
  </r>
  <r>
    <x v="27"/>
    <x v="1"/>
    <x v="3"/>
    <x v="3"/>
    <x v="2"/>
    <x v="3"/>
    <n v="0"/>
    <x v="0"/>
    <x v="0"/>
  </r>
  <r>
    <x v="28"/>
    <x v="1"/>
    <x v="4"/>
    <x v="4"/>
    <x v="2"/>
    <x v="3"/>
    <n v="0"/>
    <x v="0"/>
    <x v="0"/>
  </r>
  <r>
    <x v="29"/>
    <x v="1"/>
    <x v="5"/>
    <x v="5"/>
    <x v="2"/>
    <x v="3"/>
    <n v="0"/>
    <x v="0"/>
    <x v="0"/>
  </r>
  <r>
    <x v="30"/>
    <x v="2"/>
    <x v="6"/>
    <x v="6"/>
    <x v="2"/>
    <x v="4"/>
    <n v="0.1"/>
    <x v="4"/>
    <x v="2"/>
  </r>
  <r>
    <x v="31"/>
    <x v="2"/>
    <x v="7"/>
    <x v="7"/>
    <x v="2"/>
    <x v="4"/>
    <n v="0"/>
    <x v="0"/>
    <x v="0"/>
  </r>
  <r>
    <x v="32"/>
    <x v="2"/>
    <x v="8"/>
    <x v="8"/>
    <x v="2"/>
    <x v="4"/>
    <n v="0"/>
    <x v="0"/>
    <x v="0"/>
  </r>
  <r>
    <x v="33"/>
    <x v="3"/>
    <x v="9"/>
    <x v="9"/>
    <x v="2"/>
    <x v="4"/>
    <n v="0"/>
    <x v="0"/>
    <x v="0"/>
  </r>
  <r>
    <x v="34"/>
    <x v="3"/>
    <x v="10"/>
    <x v="10"/>
    <x v="2"/>
    <x v="4"/>
    <n v="0"/>
    <x v="0"/>
    <x v="0"/>
  </r>
  <r>
    <x v="35"/>
    <x v="3"/>
    <x v="11"/>
    <x v="11"/>
    <x v="2"/>
    <x v="4"/>
    <n v="0"/>
    <x v="0"/>
    <x v="0"/>
  </r>
  <r>
    <x v="36"/>
    <x v="0"/>
    <x v="0"/>
    <x v="0"/>
    <x v="3"/>
    <x v="5"/>
    <n v="0.21"/>
    <x v="5"/>
    <x v="2"/>
  </r>
  <r>
    <x v="37"/>
    <x v="0"/>
    <x v="1"/>
    <x v="1"/>
    <x v="3"/>
    <x v="5"/>
    <n v="0"/>
    <x v="0"/>
    <x v="0"/>
  </r>
  <r>
    <x v="38"/>
    <x v="0"/>
    <x v="2"/>
    <x v="2"/>
    <x v="3"/>
    <x v="5"/>
    <n v="0"/>
    <x v="0"/>
    <x v="0"/>
  </r>
  <r>
    <x v="39"/>
    <x v="1"/>
    <x v="3"/>
    <x v="3"/>
    <x v="3"/>
    <x v="6"/>
    <n v="0.27"/>
    <x v="6"/>
    <x v="2"/>
  </r>
  <r>
    <x v="40"/>
    <x v="1"/>
    <x v="4"/>
    <x v="4"/>
    <x v="3"/>
    <x v="6"/>
    <n v="0"/>
    <x v="0"/>
    <x v="0"/>
  </r>
  <r>
    <x v="41"/>
    <x v="1"/>
    <x v="5"/>
    <x v="5"/>
    <x v="3"/>
    <x v="6"/>
    <n v="0"/>
    <x v="0"/>
    <x v="0"/>
  </r>
  <r>
    <x v="42"/>
    <x v="2"/>
    <x v="6"/>
    <x v="6"/>
    <x v="3"/>
    <x v="7"/>
    <n v="0.35"/>
    <x v="7"/>
    <x v="2"/>
  </r>
  <r>
    <x v="43"/>
    <x v="2"/>
    <x v="7"/>
    <x v="7"/>
    <x v="3"/>
    <x v="7"/>
    <n v="0"/>
    <x v="0"/>
    <x v="0"/>
  </r>
  <r>
    <x v="44"/>
    <x v="2"/>
    <x v="8"/>
    <x v="8"/>
    <x v="3"/>
    <x v="7"/>
    <n v="0"/>
    <x v="0"/>
    <x v="0"/>
  </r>
  <r>
    <x v="45"/>
    <x v="3"/>
    <x v="9"/>
    <x v="9"/>
    <x v="3"/>
    <x v="8"/>
    <n v="1.4"/>
    <x v="8"/>
    <x v="3"/>
  </r>
  <r>
    <x v="46"/>
    <x v="3"/>
    <x v="10"/>
    <x v="10"/>
    <x v="3"/>
    <x v="8"/>
    <n v="0"/>
    <x v="0"/>
    <x v="0"/>
  </r>
  <r>
    <x v="47"/>
    <x v="3"/>
    <x v="11"/>
    <x v="11"/>
    <x v="3"/>
    <x v="8"/>
    <n v="0"/>
    <x v="0"/>
    <x v="0"/>
  </r>
  <r>
    <x v="48"/>
    <x v="0"/>
    <x v="0"/>
    <x v="0"/>
    <x v="4"/>
    <x v="9"/>
    <n v="8.9"/>
    <x v="9"/>
    <x v="3"/>
  </r>
  <r>
    <x v="49"/>
    <x v="0"/>
    <x v="1"/>
    <x v="1"/>
    <x v="4"/>
    <x v="9"/>
    <n v="0"/>
    <x v="0"/>
    <x v="0"/>
  </r>
  <r>
    <x v="50"/>
    <x v="0"/>
    <x v="2"/>
    <x v="2"/>
    <x v="4"/>
    <x v="9"/>
    <n v="0"/>
    <x v="0"/>
    <x v="0"/>
  </r>
  <r>
    <x v="51"/>
    <x v="1"/>
    <x v="3"/>
    <x v="3"/>
    <x v="4"/>
    <x v="10"/>
    <n v="-2.4"/>
    <x v="10"/>
    <x v="2"/>
  </r>
  <r>
    <x v="52"/>
    <x v="1"/>
    <x v="4"/>
    <x v="4"/>
    <x v="4"/>
    <x v="10"/>
    <n v="0"/>
    <x v="0"/>
    <x v="0"/>
  </r>
  <r>
    <x v="53"/>
    <x v="1"/>
    <x v="5"/>
    <x v="5"/>
    <x v="4"/>
    <x v="10"/>
    <n v="0"/>
    <x v="0"/>
    <x v="0"/>
  </r>
  <r>
    <x v="54"/>
    <x v="2"/>
    <x v="6"/>
    <x v="6"/>
    <x v="4"/>
    <x v="11"/>
    <n v="-0.6"/>
    <x v="11"/>
    <x v="2"/>
  </r>
  <r>
    <x v="55"/>
    <x v="2"/>
    <x v="7"/>
    <x v="7"/>
    <x v="4"/>
    <x v="11"/>
    <n v="0"/>
    <x v="0"/>
    <x v="0"/>
  </r>
  <r>
    <x v="56"/>
    <x v="2"/>
    <x v="8"/>
    <x v="8"/>
    <x v="4"/>
    <x v="11"/>
    <n v="0"/>
    <x v="0"/>
    <x v="0"/>
  </r>
  <r>
    <x v="57"/>
    <x v="3"/>
    <x v="9"/>
    <x v="9"/>
    <x v="4"/>
    <x v="12"/>
    <n v="0.3"/>
    <x v="12"/>
    <x v="0"/>
  </r>
  <r>
    <x v="58"/>
    <x v="3"/>
    <x v="10"/>
    <x v="10"/>
    <x v="4"/>
    <x v="12"/>
    <n v="0"/>
    <x v="0"/>
    <x v="0"/>
  </r>
  <r>
    <x v="59"/>
    <x v="3"/>
    <x v="11"/>
    <x v="11"/>
    <x v="4"/>
    <x v="12"/>
    <n v="0"/>
    <x v="0"/>
    <x v="0"/>
  </r>
  <r>
    <x v="60"/>
    <x v="0"/>
    <x v="0"/>
    <x v="0"/>
    <x v="5"/>
    <x v="13"/>
    <n v="0.12"/>
    <x v="13"/>
    <x v="0"/>
  </r>
  <r>
    <x v="61"/>
    <x v="0"/>
    <x v="1"/>
    <x v="1"/>
    <x v="5"/>
    <x v="13"/>
    <n v="0"/>
    <x v="0"/>
    <x v="0"/>
  </r>
  <r>
    <x v="62"/>
    <x v="0"/>
    <x v="2"/>
    <x v="2"/>
    <x v="5"/>
    <x v="13"/>
    <n v="0"/>
    <x v="0"/>
    <x v="0"/>
  </r>
  <r>
    <x v="63"/>
    <x v="1"/>
    <x v="3"/>
    <x v="3"/>
    <x v="5"/>
    <x v="13"/>
    <n v="0"/>
    <x v="0"/>
    <x v="0"/>
  </r>
  <r>
    <x v="64"/>
    <x v="1"/>
    <x v="4"/>
    <x v="4"/>
    <x v="5"/>
    <x v="13"/>
    <n v="0"/>
    <x v="0"/>
    <x v="0"/>
  </r>
  <r>
    <x v="65"/>
    <x v="1"/>
    <x v="5"/>
    <x v="5"/>
    <x v="5"/>
    <x v="13"/>
    <n v="0"/>
    <x v="0"/>
    <x v="0"/>
  </r>
  <r>
    <x v="66"/>
    <x v="2"/>
    <x v="6"/>
    <x v="6"/>
    <x v="5"/>
    <x v="14"/>
    <n v="0.01"/>
    <x v="14"/>
    <x v="0"/>
  </r>
  <r>
    <x v="67"/>
    <x v="2"/>
    <x v="7"/>
    <x v="7"/>
    <x v="5"/>
    <x v="14"/>
    <n v="0"/>
    <x v="0"/>
    <x v="0"/>
  </r>
  <r>
    <x v="68"/>
    <x v="2"/>
    <x v="8"/>
    <x v="8"/>
    <x v="5"/>
    <x v="14"/>
    <n v="0"/>
    <x v="0"/>
    <x v="0"/>
  </r>
  <r>
    <x v="69"/>
    <x v="3"/>
    <x v="9"/>
    <x v="9"/>
    <x v="5"/>
    <x v="15"/>
    <n v="0.03"/>
    <x v="15"/>
    <x v="0"/>
  </r>
  <r>
    <x v="70"/>
    <x v="3"/>
    <x v="10"/>
    <x v="10"/>
    <x v="5"/>
    <x v="15"/>
    <n v="0"/>
    <x v="0"/>
    <x v="0"/>
  </r>
  <r>
    <x v="71"/>
    <x v="3"/>
    <x v="11"/>
    <x v="11"/>
    <x v="5"/>
    <x v="15"/>
    <n v="0"/>
    <x v="0"/>
    <x v="0"/>
  </r>
  <r>
    <x v="72"/>
    <x v="0"/>
    <x v="0"/>
    <x v="0"/>
    <x v="6"/>
    <x v="16"/>
    <n v="1.05"/>
    <x v="16"/>
    <x v="2"/>
  </r>
  <r>
    <x v="73"/>
    <x v="0"/>
    <x v="1"/>
    <x v="1"/>
    <x v="6"/>
    <x v="16"/>
    <n v="0"/>
    <x v="0"/>
    <x v="0"/>
  </r>
  <r>
    <x v="74"/>
    <x v="0"/>
    <x v="2"/>
    <x v="2"/>
    <x v="6"/>
    <x v="16"/>
    <n v="0"/>
    <x v="0"/>
    <x v="0"/>
  </r>
  <r>
    <x v="75"/>
    <x v="1"/>
    <x v="3"/>
    <x v="3"/>
    <x v="6"/>
    <x v="16"/>
    <n v="0"/>
    <x v="0"/>
    <x v="0"/>
  </r>
  <r>
    <x v="76"/>
    <x v="1"/>
    <x v="4"/>
    <x v="4"/>
    <x v="6"/>
    <x v="16"/>
    <n v="0"/>
    <x v="0"/>
    <x v="0"/>
  </r>
  <r>
    <x v="77"/>
    <x v="1"/>
    <x v="5"/>
    <x v="5"/>
    <x v="6"/>
    <x v="16"/>
    <n v="0"/>
    <x v="0"/>
    <x v="0"/>
  </r>
  <r>
    <x v="78"/>
    <x v="2"/>
    <x v="6"/>
    <x v="6"/>
    <x v="6"/>
    <x v="17"/>
    <n v="0.09"/>
    <x v="17"/>
    <x v="0"/>
  </r>
  <r>
    <x v="79"/>
    <x v="2"/>
    <x v="7"/>
    <x v="7"/>
    <x v="6"/>
    <x v="17"/>
    <n v="0"/>
    <x v="0"/>
    <x v="0"/>
  </r>
  <r>
    <x v="80"/>
    <x v="2"/>
    <x v="8"/>
    <x v="8"/>
    <x v="6"/>
    <x v="17"/>
    <n v="0"/>
    <x v="0"/>
    <x v="0"/>
  </r>
  <r>
    <x v="81"/>
    <x v="3"/>
    <x v="9"/>
    <x v="9"/>
    <x v="6"/>
    <x v="18"/>
    <n v="0.3"/>
    <x v="18"/>
    <x v="0"/>
  </r>
  <r>
    <x v="82"/>
    <x v="3"/>
    <x v="10"/>
    <x v="10"/>
    <x v="6"/>
    <x v="18"/>
    <n v="0"/>
    <x v="0"/>
    <x v="0"/>
  </r>
  <r>
    <x v="83"/>
    <x v="3"/>
    <x v="11"/>
    <x v="11"/>
    <x v="6"/>
    <x v="18"/>
    <n v="0"/>
    <x v="0"/>
    <x v="0"/>
  </r>
  <r>
    <x v="84"/>
    <x v="0"/>
    <x v="0"/>
    <x v="0"/>
    <x v="7"/>
    <x v="19"/>
    <n v="0.6"/>
    <x v="19"/>
    <x v="2"/>
  </r>
  <r>
    <x v="85"/>
    <x v="0"/>
    <x v="1"/>
    <x v="1"/>
    <x v="7"/>
    <x v="19"/>
    <n v="0"/>
    <x v="0"/>
    <x v="0"/>
  </r>
  <r>
    <x v="86"/>
    <x v="0"/>
    <x v="2"/>
    <x v="2"/>
    <x v="7"/>
    <x v="19"/>
    <n v="0"/>
    <x v="0"/>
    <x v="0"/>
  </r>
  <r>
    <x v="87"/>
    <x v="1"/>
    <x v="3"/>
    <x v="3"/>
    <x v="7"/>
    <x v="20"/>
    <n v="-0.05"/>
    <x v="20"/>
    <x v="0"/>
  </r>
  <r>
    <x v="88"/>
    <x v="1"/>
    <x v="4"/>
    <x v="4"/>
    <x v="7"/>
    <x v="20"/>
    <n v="0"/>
    <x v="0"/>
    <x v="0"/>
  </r>
  <r>
    <x v="89"/>
    <x v="1"/>
    <x v="5"/>
    <x v="5"/>
    <x v="7"/>
    <x v="20"/>
    <n v="0"/>
    <x v="0"/>
    <x v="0"/>
  </r>
  <r>
    <x v="90"/>
    <x v="2"/>
    <x v="6"/>
    <x v="6"/>
    <x v="7"/>
    <x v="21"/>
    <n v="0.18"/>
    <x v="21"/>
    <x v="0"/>
  </r>
  <r>
    <x v="91"/>
    <x v="2"/>
    <x v="7"/>
    <x v="7"/>
    <x v="7"/>
    <x v="21"/>
    <n v="0"/>
    <x v="0"/>
    <x v="0"/>
  </r>
  <r>
    <x v="92"/>
    <x v="2"/>
    <x v="8"/>
    <x v="8"/>
    <x v="7"/>
    <x v="21"/>
    <n v="0"/>
    <x v="0"/>
    <x v="0"/>
  </r>
  <r>
    <x v="93"/>
    <x v="3"/>
    <x v="9"/>
    <x v="9"/>
    <x v="7"/>
    <x v="22"/>
    <n v="0.05"/>
    <x v="22"/>
    <x v="0"/>
  </r>
  <r>
    <x v="94"/>
    <x v="3"/>
    <x v="10"/>
    <x v="10"/>
    <x v="7"/>
    <x v="22"/>
    <n v="0"/>
    <x v="0"/>
    <x v="0"/>
  </r>
  <r>
    <x v="95"/>
    <x v="3"/>
    <x v="11"/>
    <x v="11"/>
    <x v="7"/>
    <x v="22"/>
    <n v="0"/>
    <x v="0"/>
    <x v="0"/>
  </r>
  <r>
    <x v="96"/>
    <x v="0"/>
    <x v="0"/>
    <x v="0"/>
    <x v="8"/>
    <x v="23"/>
    <n v="-0.02"/>
    <x v="23"/>
    <x v="0"/>
  </r>
  <r>
    <x v="97"/>
    <x v="0"/>
    <x v="1"/>
    <x v="1"/>
    <x v="8"/>
    <x v="23"/>
    <n v="0"/>
    <x v="0"/>
    <x v="0"/>
  </r>
  <r>
    <x v="98"/>
    <x v="0"/>
    <x v="2"/>
    <x v="2"/>
    <x v="8"/>
    <x v="23"/>
    <n v="0"/>
    <x v="0"/>
    <x v="0"/>
  </r>
  <r>
    <x v="99"/>
    <x v="1"/>
    <x v="3"/>
    <x v="3"/>
    <x v="8"/>
    <x v="22"/>
    <n v="0.02"/>
    <x v="24"/>
    <x v="0"/>
  </r>
  <r>
    <x v="100"/>
    <x v="1"/>
    <x v="4"/>
    <x v="4"/>
    <x v="8"/>
    <x v="24"/>
    <n v="0.02"/>
    <x v="24"/>
    <x v="0"/>
  </r>
  <r>
    <x v="101"/>
    <x v="1"/>
    <x v="5"/>
    <x v="5"/>
    <x v="8"/>
    <x v="25"/>
    <n v="0.03"/>
    <x v="25"/>
    <x v="0"/>
  </r>
  <r>
    <x v="102"/>
    <x v="2"/>
    <x v="6"/>
    <x v="6"/>
    <x v="8"/>
    <x v="26"/>
    <n v="0.04"/>
    <x v="26"/>
    <x v="0"/>
  </r>
  <r>
    <x v="103"/>
    <x v="2"/>
    <x v="7"/>
    <x v="7"/>
    <x v="8"/>
    <x v="27"/>
    <n v="0.02"/>
    <x v="24"/>
    <x v="0"/>
  </r>
  <r>
    <x v="104"/>
    <x v="2"/>
    <x v="8"/>
    <x v="8"/>
    <x v="8"/>
    <x v="28"/>
    <n v="0.01"/>
    <x v="27"/>
    <x v="0"/>
  </r>
  <r>
    <x v="105"/>
    <x v="3"/>
    <x v="9"/>
    <x v="9"/>
    <x v="8"/>
    <x v="29"/>
    <n v="0.05"/>
    <x v="28"/>
    <x v="0"/>
  </r>
  <r>
    <x v="106"/>
    <x v="3"/>
    <x v="10"/>
    <x v="10"/>
    <x v="8"/>
    <x v="30"/>
    <n v="0.35"/>
    <x v="29"/>
    <x v="0"/>
  </r>
  <r>
    <x v="107"/>
    <x v="3"/>
    <x v="11"/>
    <x v="11"/>
    <x v="8"/>
    <x v="31"/>
    <n v="1.3"/>
    <x v="30"/>
    <x v="2"/>
  </r>
  <r>
    <x v="108"/>
    <x v="0"/>
    <x v="0"/>
    <x v="0"/>
    <x v="9"/>
    <x v="32"/>
    <n v="2.95"/>
    <x v="31"/>
    <x v="2"/>
  </r>
  <r>
    <x v="109"/>
    <x v="0"/>
    <x v="1"/>
    <x v="1"/>
    <x v="9"/>
    <x v="33"/>
    <n v="3.3"/>
    <x v="32"/>
    <x v="2"/>
  </r>
  <r>
    <x v="110"/>
    <x v="0"/>
    <x v="2"/>
    <x v="2"/>
    <x v="9"/>
    <x v="34"/>
    <n v="1.27"/>
    <x v="33"/>
    <x v="2"/>
  </r>
  <r>
    <x v="111"/>
    <x v="1"/>
    <x v="3"/>
    <x v="3"/>
    <x v="9"/>
    <x v="35"/>
    <n v="0.4"/>
    <x v="34"/>
    <x v="0"/>
  </r>
  <r>
    <x v="112"/>
    <x v="1"/>
    <x v="4"/>
    <x v="4"/>
    <x v="9"/>
    <x v="36"/>
    <n v="11.07"/>
    <x v="35"/>
    <x v="1"/>
  </r>
  <r>
    <x v="113"/>
    <x v="1"/>
    <x v="5"/>
    <x v="5"/>
    <x v="9"/>
    <x v="37"/>
    <n v="1.17"/>
    <x v="36"/>
    <x v="0"/>
  </r>
  <r>
    <x v="114"/>
    <x v="2"/>
    <x v="6"/>
    <x v="6"/>
    <x v="9"/>
    <x v="36"/>
    <n v="-1.17"/>
    <x v="37"/>
    <x v="0"/>
  </r>
  <r>
    <x v="115"/>
    <x v="2"/>
    <x v="7"/>
    <x v="7"/>
    <x v="9"/>
    <x v="38"/>
    <n v="0.5"/>
    <x v="38"/>
    <x v="0"/>
  </r>
  <r>
    <x v="116"/>
    <x v="2"/>
    <x v="8"/>
    <x v="8"/>
    <x v="9"/>
    <x v="39"/>
    <n v="1.5"/>
    <x v="39"/>
    <x v="0"/>
  </r>
  <r>
    <x v="117"/>
    <x v="3"/>
    <x v="9"/>
    <x v="9"/>
    <x v="9"/>
    <x v="40"/>
    <n v="1.75"/>
    <x v="40"/>
    <x v="0"/>
  </r>
  <r>
    <x v="118"/>
    <x v="3"/>
    <x v="10"/>
    <x v="10"/>
    <x v="9"/>
    <x v="41"/>
    <n v="3.5"/>
    <x v="41"/>
    <x v="2"/>
  </r>
  <r>
    <x v="119"/>
    <x v="3"/>
    <x v="11"/>
    <x v="11"/>
    <x v="9"/>
    <x v="42"/>
    <n v="-1"/>
    <x v="42"/>
    <x v="0"/>
  </r>
  <r>
    <x v="120"/>
    <x v="0"/>
    <x v="0"/>
    <x v="0"/>
    <x v="10"/>
    <x v="43"/>
    <n v="-0.75"/>
    <x v="43"/>
    <x v="0"/>
  </r>
  <r>
    <x v="121"/>
    <x v="0"/>
    <x v="1"/>
    <x v="1"/>
    <x v="10"/>
    <x v="40"/>
    <n v="-1.75"/>
    <x v="44"/>
    <x v="0"/>
  </r>
  <r>
    <x v="122"/>
    <x v="0"/>
    <x v="2"/>
    <x v="2"/>
    <x v="10"/>
    <x v="44"/>
    <n v="-0.25"/>
    <x v="45"/>
    <x v="0"/>
  </r>
  <r>
    <x v="123"/>
    <x v="1"/>
    <x v="3"/>
    <x v="3"/>
    <x v="10"/>
    <x v="45"/>
    <n v="-0.42"/>
    <x v="46"/>
    <x v="0"/>
  </r>
  <r>
    <x v="124"/>
    <x v="1"/>
    <x v="4"/>
    <x v="4"/>
    <x v="10"/>
    <x v="46"/>
    <n v="0.47"/>
    <x v="47"/>
    <x v="0"/>
  </r>
  <r>
    <x v="125"/>
    <x v="1"/>
    <x v="5"/>
    <x v="5"/>
    <x v="10"/>
    <x v="44"/>
    <n v="-0.05"/>
    <x v="48"/>
    <x v="0"/>
  </r>
  <r>
    <x v="126"/>
    <x v="2"/>
    <x v="6"/>
    <x v="6"/>
    <x v="10"/>
    <x v="47"/>
    <n v="-1.63"/>
    <x v="49"/>
    <x v="0"/>
  </r>
  <r>
    <x v="127"/>
    <x v="2"/>
    <x v="7"/>
    <x v="7"/>
    <x v="10"/>
    <x v="48"/>
    <n v="-2.4300000000000002"/>
    <x v="50"/>
    <x v="2"/>
  </r>
  <r>
    <x v="128"/>
    <x v="2"/>
    <x v="8"/>
    <x v="8"/>
    <x v="10"/>
    <x v="49"/>
    <n v="-0.12"/>
    <x v="51"/>
    <x v="0"/>
  </r>
  <r>
    <x v="129"/>
    <x v="3"/>
    <x v="9"/>
    <x v="9"/>
    <x v="10"/>
    <x v="50"/>
    <n v="4.5199999999999996"/>
    <x v="52"/>
    <x v="2"/>
  </r>
  <r>
    <x v="130"/>
    <x v="3"/>
    <x v="10"/>
    <x v="10"/>
    <x v="10"/>
    <x v="51"/>
    <n v="2.95"/>
    <x v="53"/>
    <x v="2"/>
  </r>
  <r>
    <x v="131"/>
    <x v="3"/>
    <x v="11"/>
    <x v="11"/>
    <x v="10"/>
    <x v="42"/>
    <n v="-0.55000000000000004"/>
    <x v="54"/>
    <x v="0"/>
  </r>
  <r>
    <x v="132"/>
    <x v="0"/>
    <x v="0"/>
    <x v="0"/>
    <x v="11"/>
    <x v="52"/>
    <n v="0.02"/>
    <x v="55"/>
    <x v="0"/>
  </r>
  <r>
    <x v="133"/>
    <x v="0"/>
    <x v="1"/>
    <x v="1"/>
    <x v="11"/>
    <x v="53"/>
    <n v="-1.88"/>
    <x v="56"/>
    <x v="0"/>
  </r>
  <r>
    <x v="134"/>
    <x v="0"/>
    <x v="2"/>
    <x v="2"/>
    <x v="11"/>
    <x v="54"/>
    <n v="-0.3"/>
    <x v="57"/>
    <x v="0"/>
  </r>
  <r>
    <x v="135"/>
    <x v="1"/>
    <x v="3"/>
    <x v="3"/>
    <x v="11"/>
    <x v="55"/>
    <n v="-1.23"/>
    <x v="58"/>
    <x v="0"/>
  </r>
  <r>
    <x v="136"/>
    <x v="1"/>
    <x v="4"/>
    <x v="4"/>
    <x v="11"/>
    <x v="56"/>
    <n v="-2.08"/>
    <x v="59"/>
    <x v="2"/>
  </r>
  <r>
    <x v="137"/>
    <x v="1"/>
    <x v="5"/>
    <x v="5"/>
    <x v="11"/>
    <x v="57"/>
    <n v="-1.58"/>
    <x v="60"/>
    <x v="0"/>
  </r>
  <r>
    <x v="138"/>
    <x v="2"/>
    <x v="6"/>
    <x v="6"/>
    <x v="11"/>
    <x v="58"/>
    <n v="0.8"/>
    <x v="61"/>
    <x v="0"/>
  </r>
  <r>
    <x v="139"/>
    <x v="2"/>
    <x v="7"/>
    <x v="7"/>
    <x v="11"/>
    <x v="59"/>
    <n v="0.47"/>
    <x v="62"/>
    <x v="0"/>
  </r>
  <r>
    <x v="140"/>
    <x v="2"/>
    <x v="8"/>
    <x v="8"/>
    <x v="11"/>
    <x v="60"/>
    <n v="0"/>
    <x v="0"/>
    <x v="0"/>
  </r>
  <r>
    <x v="141"/>
    <x v="3"/>
    <x v="9"/>
    <x v="9"/>
    <x v="11"/>
    <x v="61"/>
    <n v="0.63"/>
    <x v="63"/>
    <x v="0"/>
  </r>
  <r>
    <x v="142"/>
    <x v="3"/>
    <x v="10"/>
    <x v="10"/>
    <x v="11"/>
    <x v="62"/>
    <n v="1.07"/>
    <x v="64"/>
    <x v="0"/>
  </r>
  <r>
    <x v="143"/>
    <x v="3"/>
    <x v="11"/>
    <x v="11"/>
    <x v="11"/>
    <x v="63"/>
    <n v="-0.27"/>
    <x v="65"/>
    <x v="0"/>
  </r>
  <r>
    <x v="144"/>
    <x v="0"/>
    <x v="0"/>
    <x v="0"/>
    <x v="12"/>
    <x v="64"/>
    <n v="-0.36"/>
    <x v="66"/>
    <x v="0"/>
  </r>
  <r>
    <x v="145"/>
    <x v="0"/>
    <x v="1"/>
    <x v="1"/>
    <x v="12"/>
    <x v="65"/>
    <n v="-2.78"/>
    <x v="67"/>
    <x v="2"/>
  </r>
  <r>
    <x v="146"/>
    <x v="0"/>
    <x v="2"/>
    <x v="2"/>
    <x v="12"/>
    <x v="66"/>
    <n v="-2.11"/>
    <x v="68"/>
    <x v="2"/>
  </r>
  <r>
    <x v="147"/>
    <x v="1"/>
    <x v="3"/>
    <x v="3"/>
    <x v="12"/>
    <x v="67"/>
    <n v="1.4"/>
    <x v="69"/>
    <x v="0"/>
  </r>
  <r>
    <x v="148"/>
    <x v="1"/>
    <x v="4"/>
    <x v="4"/>
    <x v="12"/>
    <x v="68"/>
    <n v="1.48"/>
    <x v="70"/>
    <x v="0"/>
  </r>
  <r>
    <x v="149"/>
    <x v="1"/>
    <x v="5"/>
    <x v="5"/>
    <x v="12"/>
    <x v="69"/>
    <n v="-0.28000000000000003"/>
    <x v="71"/>
    <x v="0"/>
  </r>
  <r>
    <x v="150"/>
    <x v="2"/>
    <x v="6"/>
    <x v="6"/>
    <x v="12"/>
    <x v="70"/>
    <n v="0.15"/>
    <x v="72"/>
    <x v="0"/>
  </r>
  <r>
    <x v="151"/>
    <x v="2"/>
    <x v="7"/>
    <x v="7"/>
    <x v="12"/>
    <x v="71"/>
    <n v="-0.5"/>
    <x v="73"/>
    <x v="0"/>
  </r>
  <r>
    <x v="152"/>
    <x v="2"/>
    <x v="8"/>
    <x v="8"/>
    <x v="12"/>
    <x v="72"/>
    <n v="1.05"/>
    <x v="74"/>
    <x v="0"/>
  </r>
  <r>
    <x v="153"/>
    <x v="3"/>
    <x v="9"/>
    <x v="9"/>
    <x v="12"/>
    <x v="73"/>
    <n v="0.32"/>
    <x v="75"/>
    <x v="0"/>
  </r>
  <r>
    <x v="154"/>
    <x v="3"/>
    <x v="10"/>
    <x v="10"/>
    <x v="12"/>
    <x v="74"/>
    <n v="-0.93"/>
    <x v="76"/>
    <x v="0"/>
  </r>
  <r>
    <x v="155"/>
    <x v="3"/>
    <x v="11"/>
    <x v="11"/>
    <x v="12"/>
    <x v="75"/>
    <n v="-1.38"/>
    <x v="77"/>
    <x v="0"/>
  </r>
  <r>
    <x v="156"/>
    <x v="0"/>
    <x v="0"/>
    <x v="0"/>
    <x v="13"/>
    <x v="76"/>
    <n v="-0.81"/>
    <x v="78"/>
    <x v="0"/>
  </r>
  <r>
    <x v="157"/>
    <x v="0"/>
    <x v="1"/>
    <x v="1"/>
    <x v="13"/>
    <x v="77"/>
    <n v="-1.54"/>
    <x v="79"/>
    <x v="2"/>
  </r>
  <r>
    <x v="158"/>
    <x v="0"/>
    <x v="2"/>
    <x v="2"/>
    <x v="13"/>
    <x v="78"/>
    <n v="-0.79"/>
    <x v="80"/>
    <x v="0"/>
  </r>
  <r>
    <x v="159"/>
    <x v="1"/>
    <x v="3"/>
    <x v="3"/>
    <x v="13"/>
    <x v="79"/>
    <n v="1.37"/>
    <x v="81"/>
    <x v="0"/>
  </r>
  <r>
    <x v="160"/>
    <x v="1"/>
    <x v="4"/>
    <x v="4"/>
    <x v="13"/>
    <x v="80"/>
    <n v="-0.33"/>
    <x v="82"/>
    <x v="0"/>
  </r>
  <r>
    <x v="161"/>
    <x v="1"/>
    <x v="5"/>
    <x v="5"/>
    <x v="13"/>
    <x v="81"/>
    <n v="0.61"/>
    <x v="83"/>
    <x v="0"/>
  </r>
  <r>
    <x v="162"/>
    <x v="2"/>
    <x v="6"/>
    <x v="6"/>
    <x v="13"/>
    <x v="82"/>
    <n v="0.5"/>
    <x v="84"/>
    <x v="0"/>
  </r>
  <r>
    <x v="163"/>
    <x v="2"/>
    <x v="7"/>
    <x v="7"/>
    <x v="13"/>
    <x v="76"/>
    <n v="0.19"/>
    <x v="85"/>
    <x v="0"/>
  </r>
  <r>
    <x v="164"/>
    <x v="2"/>
    <x v="8"/>
    <x v="8"/>
    <x v="13"/>
    <x v="83"/>
    <n v="-0.57999999999999996"/>
    <x v="86"/>
    <x v="0"/>
  </r>
  <r>
    <x v="165"/>
    <x v="3"/>
    <x v="9"/>
    <x v="9"/>
    <x v="13"/>
    <x v="84"/>
    <n v="-0.45"/>
    <x v="87"/>
    <x v="0"/>
  </r>
  <r>
    <x v="166"/>
    <x v="3"/>
    <x v="10"/>
    <x v="10"/>
    <x v="13"/>
    <x v="85"/>
    <n v="-0.45"/>
    <x v="73"/>
    <x v="0"/>
  </r>
  <r>
    <x v="167"/>
    <x v="3"/>
    <x v="11"/>
    <x v="11"/>
    <x v="13"/>
    <x v="86"/>
    <n v="-0.35"/>
    <x v="88"/>
    <x v="0"/>
  </r>
  <r>
    <x v="168"/>
    <x v="0"/>
    <x v="0"/>
    <x v="0"/>
    <x v="14"/>
    <x v="87"/>
    <n v="0.23"/>
    <x v="89"/>
    <x v="0"/>
  </r>
  <r>
    <x v="169"/>
    <x v="0"/>
    <x v="1"/>
    <x v="1"/>
    <x v="14"/>
    <x v="88"/>
    <n v="0.16"/>
    <x v="90"/>
    <x v="0"/>
  </r>
  <r>
    <x v="170"/>
    <x v="0"/>
    <x v="2"/>
    <x v="2"/>
    <x v="14"/>
    <x v="89"/>
    <n v="0.33"/>
    <x v="91"/>
    <x v="0"/>
  </r>
  <r>
    <x v="171"/>
    <x v="1"/>
    <x v="3"/>
    <x v="3"/>
    <x v="14"/>
    <x v="90"/>
    <n v="0.04"/>
    <x v="92"/>
    <x v="0"/>
  </r>
  <r>
    <x v="172"/>
    <x v="1"/>
    <x v="4"/>
    <x v="4"/>
    <x v="14"/>
    <x v="91"/>
    <n v="-0.11"/>
    <x v="51"/>
    <x v="0"/>
  </r>
  <r>
    <x v="173"/>
    <x v="1"/>
    <x v="5"/>
    <x v="5"/>
    <x v="14"/>
    <x v="92"/>
    <n v="-0.41"/>
    <x v="93"/>
    <x v="0"/>
  </r>
  <r>
    <x v="174"/>
    <x v="2"/>
    <x v="6"/>
    <x v="6"/>
    <x v="14"/>
    <x v="93"/>
    <n v="-1.06"/>
    <x v="94"/>
    <x v="0"/>
  </r>
  <r>
    <x v="175"/>
    <x v="2"/>
    <x v="7"/>
    <x v="7"/>
    <x v="14"/>
    <x v="94"/>
    <n v="0.18"/>
    <x v="95"/>
    <x v="0"/>
  </r>
  <r>
    <x v="176"/>
    <x v="2"/>
    <x v="8"/>
    <x v="8"/>
    <x v="14"/>
    <x v="95"/>
    <n v="0.18"/>
    <x v="96"/>
    <x v="0"/>
  </r>
  <r>
    <x v="177"/>
    <x v="3"/>
    <x v="9"/>
    <x v="9"/>
    <x v="14"/>
    <x v="96"/>
    <n v="-0.5"/>
    <x v="97"/>
    <x v="0"/>
  </r>
  <r>
    <x v="178"/>
    <x v="3"/>
    <x v="10"/>
    <x v="10"/>
    <x v="14"/>
    <x v="97"/>
    <n v="-0.2"/>
    <x v="98"/>
    <x v="0"/>
  </r>
  <r>
    <x v="179"/>
    <x v="3"/>
    <x v="11"/>
    <x v="11"/>
    <x v="14"/>
    <x v="98"/>
    <n v="-0.84"/>
    <x v="99"/>
    <x v="0"/>
  </r>
  <r>
    <x v="180"/>
    <x v="0"/>
    <x v="0"/>
    <x v="0"/>
    <x v="15"/>
    <x v="99"/>
    <n v="-0.18"/>
    <x v="45"/>
    <x v="0"/>
  </r>
  <r>
    <x v="181"/>
    <x v="0"/>
    <x v="1"/>
    <x v="1"/>
    <x v="15"/>
    <x v="100"/>
    <n v="0.97"/>
    <x v="100"/>
    <x v="0"/>
  </r>
  <r>
    <x v="182"/>
    <x v="0"/>
    <x v="2"/>
    <x v="2"/>
    <x v="15"/>
    <x v="101"/>
    <n v="0.25"/>
    <x v="101"/>
    <x v="0"/>
  </r>
  <r>
    <x v="183"/>
    <x v="1"/>
    <x v="3"/>
    <x v="3"/>
    <x v="15"/>
    <x v="102"/>
    <n v="-0.05"/>
    <x v="102"/>
    <x v="0"/>
  </r>
  <r>
    <x v="184"/>
    <x v="1"/>
    <x v="4"/>
    <x v="4"/>
    <x v="15"/>
    <x v="103"/>
    <n v="-1.1499999999999999"/>
    <x v="103"/>
    <x v="0"/>
  </r>
  <r>
    <x v="185"/>
    <x v="1"/>
    <x v="5"/>
    <x v="5"/>
    <x v="15"/>
    <x v="104"/>
    <n v="-0.28000000000000003"/>
    <x v="104"/>
    <x v="0"/>
  </r>
  <r>
    <x v="186"/>
    <x v="2"/>
    <x v="6"/>
    <x v="6"/>
    <x v="15"/>
    <x v="105"/>
    <n v="0.02"/>
    <x v="55"/>
    <x v="0"/>
  </r>
  <r>
    <x v="187"/>
    <x v="2"/>
    <x v="7"/>
    <x v="7"/>
    <x v="15"/>
    <x v="106"/>
    <n v="0.63"/>
    <x v="105"/>
    <x v="0"/>
  </r>
  <r>
    <x v="188"/>
    <x v="2"/>
    <x v="8"/>
    <x v="8"/>
    <x v="15"/>
    <x v="107"/>
    <n v="-0.03"/>
    <x v="106"/>
    <x v="0"/>
  </r>
  <r>
    <x v="189"/>
    <x v="3"/>
    <x v="9"/>
    <x v="9"/>
    <x v="15"/>
    <x v="108"/>
    <n v="0.83"/>
    <x v="64"/>
    <x v="0"/>
  </r>
  <r>
    <x v="190"/>
    <x v="3"/>
    <x v="10"/>
    <x v="10"/>
    <x v="15"/>
    <x v="109"/>
    <n v="0.78"/>
    <x v="107"/>
    <x v="0"/>
  </r>
  <r>
    <x v="191"/>
    <x v="3"/>
    <x v="11"/>
    <x v="11"/>
    <x v="15"/>
    <x v="110"/>
    <n v="-2.1"/>
    <x v="108"/>
    <x v="2"/>
  </r>
  <r>
    <x v="192"/>
    <x v="0"/>
    <x v="0"/>
    <x v="0"/>
    <x v="16"/>
    <x v="111"/>
    <n v="-1.82"/>
    <x v="50"/>
    <x v="2"/>
  </r>
  <r>
    <x v="193"/>
    <x v="0"/>
    <x v="1"/>
    <x v="1"/>
    <x v="16"/>
    <x v="112"/>
    <n v="-8.77"/>
    <x v="109"/>
    <x v="1"/>
  </r>
  <r>
    <x v="194"/>
    <x v="0"/>
    <x v="2"/>
    <x v="2"/>
    <x v="16"/>
    <x v="113"/>
    <n v="-3.27"/>
    <x v="110"/>
    <x v="2"/>
  </r>
  <r>
    <x v="195"/>
    <x v="1"/>
    <x v="3"/>
    <x v="3"/>
    <x v="16"/>
    <x v="114"/>
    <n v="-0.75"/>
    <x v="111"/>
    <x v="2"/>
  </r>
  <r>
    <x v="196"/>
    <x v="1"/>
    <x v="4"/>
    <x v="4"/>
    <x v="16"/>
    <x v="115"/>
    <n v="1.82"/>
    <x v="112"/>
    <x v="2"/>
  </r>
  <r>
    <x v="197"/>
    <x v="1"/>
    <x v="5"/>
    <x v="5"/>
    <x v="16"/>
    <x v="116"/>
    <n v="-1.87"/>
    <x v="113"/>
    <x v="2"/>
  </r>
  <r>
    <x v="198"/>
    <x v="2"/>
    <x v="6"/>
    <x v="6"/>
    <x v="16"/>
    <x v="117"/>
    <n v="-2.23"/>
    <x v="114"/>
    <x v="2"/>
  </r>
  <r>
    <x v="199"/>
    <x v="2"/>
    <x v="7"/>
    <x v="7"/>
    <x v="16"/>
    <x v="118"/>
    <n v="4.08"/>
    <x v="115"/>
    <x v="1"/>
  </r>
  <r>
    <x v="200"/>
    <x v="2"/>
    <x v="8"/>
    <x v="8"/>
    <x v="16"/>
    <x v="119"/>
    <n v="0.38"/>
    <x v="116"/>
    <x v="0"/>
  </r>
  <r>
    <x v="201"/>
    <x v="3"/>
    <x v="9"/>
    <x v="9"/>
    <x v="16"/>
    <x v="120"/>
    <n v="-0.13"/>
    <x v="117"/>
    <x v="0"/>
  </r>
  <r>
    <x v="202"/>
    <x v="3"/>
    <x v="10"/>
    <x v="10"/>
    <x v="16"/>
    <x v="121"/>
    <n v="0.5"/>
    <x v="118"/>
    <x v="0"/>
  </r>
  <r>
    <x v="203"/>
    <x v="3"/>
    <x v="11"/>
    <x v="11"/>
    <x v="16"/>
    <x v="122"/>
    <n v="1.23"/>
    <x v="119"/>
    <x v="2"/>
  </r>
  <r>
    <x v="204"/>
    <x v="0"/>
    <x v="0"/>
    <x v="0"/>
    <x v="17"/>
    <x v="123"/>
    <n v="2.38"/>
    <x v="120"/>
    <x v="2"/>
  </r>
  <r>
    <x v="205"/>
    <x v="0"/>
    <x v="1"/>
    <x v="1"/>
    <x v="17"/>
    <x v="124"/>
    <n v="-0.82"/>
    <x v="121"/>
    <x v="0"/>
  </r>
  <r>
    <x v="206"/>
    <x v="0"/>
    <x v="2"/>
    <x v="2"/>
    <x v="17"/>
    <x v="125"/>
    <n v="0.5"/>
    <x v="122"/>
    <x v="0"/>
  </r>
  <r>
    <x v="207"/>
    <x v="1"/>
    <x v="3"/>
    <x v="3"/>
    <x v="17"/>
    <x v="126"/>
    <n v="0.15"/>
    <x v="123"/>
    <x v="0"/>
  </r>
  <r>
    <x v="208"/>
    <x v="1"/>
    <x v="4"/>
    <x v="4"/>
    <x v="17"/>
    <x v="127"/>
    <n v="0.5"/>
    <x v="124"/>
    <x v="0"/>
  </r>
  <r>
    <x v="209"/>
    <x v="1"/>
    <x v="5"/>
    <x v="5"/>
    <x v="17"/>
    <x v="128"/>
    <n v="0.32"/>
    <x v="3"/>
    <x v="0"/>
  </r>
  <r>
    <x v="210"/>
    <x v="2"/>
    <x v="6"/>
    <x v="6"/>
    <x v="17"/>
    <x v="129"/>
    <n v="0.9"/>
    <x v="125"/>
    <x v="0"/>
  </r>
  <r>
    <x v="211"/>
    <x v="2"/>
    <x v="7"/>
    <x v="7"/>
    <x v="17"/>
    <x v="130"/>
    <n v="-0.8"/>
    <x v="126"/>
    <x v="0"/>
  </r>
  <r>
    <x v="212"/>
    <x v="2"/>
    <x v="8"/>
    <x v="8"/>
    <x v="17"/>
    <x v="131"/>
    <n v="-0.53"/>
    <x v="127"/>
    <x v="0"/>
  </r>
  <r>
    <x v="213"/>
    <x v="3"/>
    <x v="9"/>
    <x v="9"/>
    <x v="17"/>
    <x v="132"/>
    <n v="0.28000000000000003"/>
    <x v="128"/>
    <x v="0"/>
  </r>
  <r>
    <x v="214"/>
    <x v="3"/>
    <x v="10"/>
    <x v="10"/>
    <x v="17"/>
    <x v="125"/>
    <n v="-0.82"/>
    <x v="129"/>
    <x v="0"/>
  </r>
  <r>
    <x v="215"/>
    <x v="3"/>
    <x v="11"/>
    <x v="11"/>
    <x v="17"/>
    <x v="133"/>
    <n v="-1.1200000000000001"/>
    <x v="130"/>
    <x v="2"/>
  </r>
  <r>
    <x v="216"/>
    <x v="0"/>
    <x v="0"/>
    <x v="0"/>
    <x v="18"/>
    <x v="134"/>
    <n v="-0.17"/>
    <x v="131"/>
    <x v="0"/>
  </r>
  <r>
    <x v="217"/>
    <x v="0"/>
    <x v="1"/>
    <x v="1"/>
    <x v="18"/>
    <x v="135"/>
    <n v="-0.62"/>
    <x v="132"/>
    <x v="0"/>
  </r>
  <r>
    <x v="218"/>
    <x v="0"/>
    <x v="2"/>
    <x v="2"/>
    <x v="18"/>
    <x v="136"/>
    <n v="-1.07"/>
    <x v="133"/>
    <x v="2"/>
  </r>
  <r>
    <x v="219"/>
    <x v="1"/>
    <x v="3"/>
    <x v="3"/>
    <x v="18"/>
    <x v="134"/>
    <n v="1.68"/>
    <x v="134"/>
    <x v="2"/>
  </r>
  <r>
    <x v="220"/>
    <x v="1"/>
    <x v="4"/>
    <x v="4"/>
    <x v="18"/>
    <x v="137"/>
    <n v="-0.25"/>
    <x v="73"/>
    <x v="0"/>
  </r>
  <r>
    <x v="221"/>
    <x v="1"/>
    <x v="5"/>
    <x v="5"/>
    <x v="18"/>
    <x v="138"/>
    <n v="-0.88"/>
    <x v="135"/>
    <x v="2"/>
  </r>
  <r>
    <x v="222"/>
    <x v="2"/>
    <x v="6"/>
    <x v="6"/>
    <x v="18"/>
    <x v="139"/>
    <n v="-0.85"/>
    <x v="136"/>
    <x v="2"/>
  </r>
  <r>
    <x v="223"/>
    <x v="2"/>
    <x v="7"/>
    <x v="7"/>
    <x v="18"/>
    <x v="140"/>
    <n v="7.0000000000000007E-2"/>
    <x v="72"/>
    <x v="0"/>
  </r>
  <r>
    <x v="224"/>
    <x v="2"/>
    <x v="8"/>
    <x v="8"/>
    <x v="18"/>
    <x v="141"/>
    <n v="-1.45"/>
    <x v="137"/>
    <x v="2"/>
  </r>
  <r>
    <x v="225"/>
    <x v="3"/>
    <x v="9"/>
    <x v="9"/>
    <x v="18"/>
    <x v="142"/>
    <n v="-0.92"/>
    <x v="138"/>
    <x v="2"/>
  </r>
  <r>
    <x v="226"/>
    <x v="3"/>
    <x v="10"/>
    <x v="10"/>
    <x v="18"/>
    <x v="143"/>
    <n v="0.35"/>
    <x v="139"/>
    <x v="0"/>
  </r>
  <r>
    <x v="227"/>
    <x v="3"/>
    <x v="11"/>
    <x v="11"/>
    <x v="18"/>
    <x v="144"/>
    <n v="2.12"/>
    <x v="140"/>
    <x v="2"/>
  </r>
  <r>
    <x v="228"/>
    <x v="0"/>
    <x v="0"/>
    <x v="0"/>
    <x v="19"/>
    <x v="145"/>
    <n v="1.83"/>
    <x v="141"/>
    <x v="2"/>
  </r>
  <r>
    <x v="229"/>
    <x v="0"/>
    <x v="1"/>
    <x v="1"/>
    <x v="19"/>
    <x v="146"/>
    <n v="-0.13"/>
    <x v="142"/>
    <x v="0"/>
  </r>
  <r>
    <x v="230"/>
    <x v="0"/>
    <x v="2"/>
    <x v="2"/>
    <x v="19"/>
    <x v="147"/>
    <n v="1.68"/>
    <x v="143"/>
    <x v="2"/>
  </r>
  <r>
    <x v="231"/>
    <x v="1"/>
    <x v="3"/>
    <x v="3"/>
    <x v="19"/>
    <x v="148"/>
    <n v="1.17"/>
    <x v="144"/>
    <x v="2"/>
  </r>
  <r>
    <x v="232"/>
    <x v="1"/>
    <x v="4"/>
    <x v="4"/>
    <x v="19"/>
    <x v="149"/>
    <n v="-1.18"/>
    <x v="145"/>
    <x v="2"/>
  </r>
  <r>
    <x v="233"/>
    <x v="1"/>
    <x v="5"/>
    <x v="5"/>
    <x v="19"/>
    <x v="150"/>
    <n v="-0.38"/>
    <x v="146"/>
    <x v="0"/>
  </r>
  <r>
    <x v="234"/>
    <x v="2"/>
    <x v="6"/>
    <x v="6"/>
    <x v="19"/>
    <x v="151"/>
    <n v="0.03"/>
    <x v="147"/>
    <x v="0"/>
  </r>
  <r>
    <x v="235"/>
    <x v="2"/>
    <x v="7"/>
    <x v="7"/>
    <x v="19"/>
    <x v="152"/>
    <n v="-0.78"/>
    <x v="148"/>
    <x v="0"/>
  </r>
  <r>
    <x v="236"/>
    <x v="2"/>
    <x v="8"/>
    <x v="8"/>
    <x v="19"/>
    <x v="151"/>
    <n v="0.78"/>
    <x v="69"/>
    <x v="0"/>
  </r>
  <r>
    <x v="237"/>
    <x v="3"/>
    <x v="9"/>
    <x v="9"/>
    <x v="19"/>
    <x v="153"/>
    <n v="0.75"/>
    <x v="149"/>
    <x v="0"/>
  </r>
  <r>
    <x v="238"/>
    <x v="3"/>
    <x v="10"/>
    <x v="10"/>
    <x v="19"/>
    <x v="154"/>
    <n v="-0.05"/>
    <x v="150"/>
    <x v="0"/>
  </r>
  <r>
    <x v="239"/>
    <x v="3"/>
    <x v="11"/>
    <x v="11"/>
    <x v="19"/>
    <x v="155"/>
    <n v="0.98"/>
    <x v="151"/>
    <x v="2"/>
  </r>
  <r>
    <x v="240"/>
    <x v="0"/>
    <x v="0"/>
    <x v="0"/>
    <x v="20"/>
    <x v="156"/>
    <n v="1"/>
    <x v="152"/>
    <x v="2"/>
  </r>
  <r>
    <x v="241"/>
    <x v="0"/>
    <x v="1"/>
    <x v="1"/>
    <x v="20"/>
    <x v="157"/>
    <n v="-0.75"/>
    <x v="153"/>
    <x v="0"/>
  </r>
  <r>
    <x v="242"/>
    <x v="0"/>
    <x v="2"/>
    <x v="2"/>
    <x v="20"/>
    <x v="158"/>
    <n v="-1.38"/>
    <x v="154"/>
    <x v="2"/>
  </r>
  <r>
    <x v="243"/>
    <x v="1"/>
    <x v="3"/>
    <x v="3"/>
    <x v="20"/>
    <x v="159"/>
    <n v="-1.67"/>
    <x v="155"/>
    <x v="2"/>
  </r>
  <r>
    <x v="244"/>
    <x v="1"/>
    <x v="4"/>
    <x v="4"/>
    <x v="20"/>
    <x v="160"/>
    <n v="0.03"/>
    <x v="156"/>
    <x v="0"/>
  </r>
  <r>
    <x v="245"/>
    <x v="1"/>
    <x v="5"/>
    <x v="5"/>
    <x v="20"/>
    <x v="161"/>
    <n v="-1.32"/>
    <x v="157"/>
    <x v="2"/>
  </r>
  <r>
    <x v="246"/>
    <x v="2"/>
    <x v="6"/>
    <x v="6"/>
    <x v="20"/>
    <x v="162"/>
    <n v="1.9"/>
    <x v="158"/>
    <x v="2"/>
  </r>
  <r>
    <x v="247"/>
    <x v="2"/>
    <x v="7"/>
    <x v="7"/>
    <x v="20"/>
    <x v="163"/>
    <n v="9.23"/>
    <x v="159"/>
    <x v="3"/>
  </r>
  <r>
    <x v="248"/>
    <x v="2"/>
    <x v="8"/>
    <x v="8"/>
    <x v="20"/>
    <x v="164"/>
    <n v="6.3"/>
    <x v="160"/>
    <x v="2"/>
  </r>
  <r>
    <x v="249"/>
    <x v="3"/>
    <x v="9"/>
    <x v="9"/>
    <x v="20"/>
    <x v="165"/>
    <n v="1.8"/>
    <x v="161"/>
    <x v="2"/>
  </r>
  <r>
    <x v="250"/>
    <x v="3"/>
    <x v="10"/>
    <x v="10"/>
    <x v="20"/>
    <x v="166"/>
    <n v="-3.42"/>
    <x v="162"/>
    <x v="2"/>
  </r>
  <r>
    <x v="251"/>
    <x v="3"/>
    <x v="11"/>
    <x v="11"/>
    <x v="20"/>
    <x v="167"/>
    <n v="-4.95"/>
    <x v="163"/>
    <x v="2"/>
  </r>
  <r>
    <x v="252"/>
    <x v="0"/>
    <x v="0"/>
    <x v="0"/>
    <x v="21"/>
    <x v="168"/>
    <n v="-3.55"/>
    <x v="164"/>
    <x v="2"/>
  </r>
  <r>
    <x v="253"/>
    <x v="0"/>
    <x v="1"/>
    <x v="1"/>
    <x v="21"/>
    <x v="169"/>
    <n v="-4.45"/>
    <x v="165"/>
    <x v="2"/>
  </r>
  <r>
    <x v="254"/>
    <x v="0"/>
    <x v="2"/>
    <x v="2"/>
    <x v="21"/>
    <x v="123"/>
    <n v="-7.0000000000000007E-2"/>
    <x v="166"/>
    <x v="0"/>
  </r>
  <r>
    <x v="255"/>
    <x v="1"/>
    <x v="3"/>
    <x v="3"/>
    <x v="21"/>
    <x v="170"/>
    <n v="0.4"/>
    <x v="167"/>
    <x v="0"/>
  </r>
  <r>
    <x v="256"/>
    <x v="1"/>
    <x v="4"/>
    <x v="4"/>
    <x v="21"/>
    <x v="130"/>
    <n v="0.35"/>
    <x v="168"/>
    <x v="0"/>
  </r>
  <r>
    <x v="257"/>
    <x v="1"/>
    <x v="5"/>
    <x v="5"/>
    <x v="21"/>
    <x v="171"/>
    <n v="-0.88"/>
    <x v="169"/>
    <x v="0"/>
  </r>
  <r>
    <x v="258"/>
    <x v="2"/>
    <x v="6"/>
    <x v="6"/>
    <x v="21"/>
    <x v="172"/>
    <n v="1.1200000000000001"/>
    <x v="170"/>
    <x v="2"/>
  </r>
  <r>
    <x v="259"/>
    <x v="2"/>
    <x v="7"/>
    <x v="7"/>
    <x v="21"/>
    <x v="173"/>
    <n v="0.32"/>
    <x v="171"/>
    <x v="0"/>
  </r>
  <r>
    <x v="260"/>
    <x v="2"/>
    <x v="8"/>
    <x v="8"/>
    <x v="21"/>
    <x v="174"/>
    <n v="0.68"/>
    <x v="172"/>
    <x v="0"/>
  </r>
  <r>
    <x v="261"/>
    <x v="3"/>
    <x v="9"/>
    <x v="9"/>
    <x v="21"/>
    <x v="175"/>
    <n v="1.42"/>
    <x v="173"/>
    <x v="2"/>
  </r>
  <r>
    <x v="262"/>
    <x v="3"/>
    <x v="10"/>
    <x v="10"/>
    <x v="21"/>
    <x v="176"/>
    <n v="-0.7"/>
    <x v="174"/>
    <x v="0"/>
  </r>
  <r>
    <x v="263"/>
    <x v="3"/>
    <x v="11"/>
    <x v="11"/>
    <x v="21"/>
    <x v="125"/>
    <n v="-3.02"/>
    <x v="175"/>
    <x v="2"/>
  </r>
  <r>
    <x v="264"/>
    <x v="0"/>
    <x v="0"/>
    <x v="0"/>
    <x v="22"/>
    <x v="177"/>
    <n v="-0.37"/>
    <x v="176"/>
    <x v="0"/>
  </r>
  <r>
    <x v="265"/>
    <x v="0"/>
    <x v="1"/>
    <x v="1"/>
    <x v="22"/>
    <x v="178"/>
    <n v="0.23"/>
    <x v="177"/>
    <x v="0"/>
  </r>
  <r>
    <x v="266"/>
    <x v="0"/>
    <x v="2"/>
    <x v="2"/>
    <x v="22"/>
    <x v="179"/>
    <n v="-0.17"/>
    <x v="117"/>
    <x v="0"/>
  </r>
  <r>
    <x v="267"/>
    <x v="1"/>
    <x v="3"/>
    <x v="3"/>
    <x v="22"/>
    <x v="180"/>
    <n v="1.18"/>
    <x v="178"/>
    <x v="2"/>
  </r>
  <r>
    <x v="268"/>
    <x v="1"/>
    <x v="4"/>
    <x v="4"/>
    <x v="22"/>
    <x v="181"/>
    <n v="0.87"/>
    <x v="179"/>
    <x v="0"/>
  </r>
  <r>
    <x v="269"/>
    <x v="1"/>
    <x v="5"/>
    <x v="5"/>
    <x v="22"/>
    <x v="182"/>
    <n v="1.33"/>
    <x v="180"/>
    <x v="2"/>
  </r>
  <r>
    <x v="270"/>
    <x v="2"/>
    <x v="6"/>
    <x v="6"/>
    <x v="22"/>
    <x v="183"/>
    <n v="-0.67"/>
    <x v="181"/>
    <x v="0"/>
  </r>
  <r>
    <x v="271"/>
    <x v="2"/>
    <x v="7"/>
    <x v="7"/>
    <x v="22"/>
    <x v="129"/>
    <n v="-0.55000000000000004"/>
    <x v="182"/>
    <x v="0"/>
  </r>
  <r>
    <x v="272"/>
    <x v="2"/>
    <x v="8"/>
    <x v="8"/>
    <x v="22"/>
    <x v="184"/>
    <n v="0.53"/>
    <x v="29"/>
    <x v="0"/>
  </r>
  <r>
    <x v="273"/>
    <x v="3"/>
    <x v="9"/>
    <x v="9"/>
    <x v="22"/>
    <x v="185"/>
    <n v="-7.0000000000000007E-2"/>
    <x v="183"/>
    <x v="0"/>
  </r>
  <r>
    <x v="274"/>
    <x v="3"/>
    <x v="10"/>
    <x v="10"/>
    <x v="22"/>
    <x v="186"/>
    <n v="-1.2"/>
    <x v="184"/>
    <x v="2"/>
  </r>
  <r>
    <x v="275"/>
    <x v="3"/>
    <x v="11"/>
    <x v="11"/>
    <x v="22"/>
    <x v="171"/>
    <n v="-0.95"/>
    <x v="185"/>
    <x v="2"/>
  </r>
  <r>
    <x v="276"/>
    <x v="0"/>
    <x v="0"/>
    <x v="0"/>
    <x v="23"/>
    <x v="187"/>
    <n v="-0.72"/>
    <x v="186"/>
    <x v="0"/>
  </r>
  <r>
    <x v="277"/>
    <x v="0"/>
    <x v="1"/>
    <x v="1"/>
    <x v="23"/>
    <x v="188"/>
    <n v="0.95"/>
    <x v="187"/>
    <x v="2"/>
  </r>
  <r>
    <x v="278"/>
    <x v="0"/>
    <x v="2"/>
    <x v="2"/>
    <x v="23"/>
    <x v="170"/>
    <n v="0.3"/>
    <x v="188"/>
    <x v="0"/>
  </r>
  <r>
    <x v="279"/>
    <x v="1"/>
    <x v="3"/>
    <x v="3"/>
    <x v="23"/>
    <x v="189"/>
    <n v="-0.03"/>
    <x v="102"/>
    <x v="0"/>
  </r>
  <r>
    <x v="280"/>
    <x v="1"/>
    <x v="4"/>
    <x v="4"/>
    <x v="23"/>
    <x v="188"/>
    <n v="-0.27"/>
    <x v="189"/>
    <x v="0"/>
  </r>
  <r>
    <x v="281"/>
    <x v="1"/>
    <x v="5"/>
    <x v="5"/>
    <x v="23"/>
    <x v="190"/>
    <n v="-0.7"/>
    <x v="190"/>
    <x v="0"/>
  </r>
  <r>
    <x v="282"/>
    <x v="2"/>
    <x v="6"/>
    <x v="6"/>
    <x v="23"/>
    <x v="191"/>
    <n v="-1.1499999999999999"/>
    <x v="191"/>
    <x v="2"/>
  </r>
  <r>
    <x v="283"/>
    <x v="2"/>
    <x v="7"/>
    <x v="7"/>
    <x v="23"/>
    <x v="145"/>
    <n v="0.17"/>
    <x v="192"/>
    <x v="0"/>
  </r>
  <r>
    <x v="284"/>
    <x v="2"/>
    <x v="8"/>
    <x v="8"/>
    <x v="23"/>
    <x v="192"/>
    <n v="-0.57999999999999996"/>
    <x v="193"/>
    <x v="0"/>
  </r>
  <r>
    <x v="285"/>
    <x v="3"/>
    <x v="9"/>
    <x v="9"/>
    <x v="23"/>
    <x v="193"/>
    <n v="0.62"/>
    <x v="194"/>
    <x v="0"/>
  </r>
  <r>
    <x v="286"/>
    <x v="3"/>
    <x v="10"/>
    <x v="10"/>
    <x v="23"/>
    <x v="194"/>
    <n v="-1.32"/>
    <x v="195"/>
    <x v="2"/>
  </r>
  <r>
    <x v="287"/>
    <x v="3"/>
    <x v="11"/>
    <x v="11"/>
    <x v="23"/>
    <x v="195"/>
    <n v="-1.43"/>
    <x v="196"/>
    <x v="2"/>
  </r>
  <r>
    <x v="288"/>
    <x v="0"/>
    <x v="0"/>
    <x v="0"/>
    <x v="24"/>
    <x v="196"/>
    <n v="0.37"/>
    <x v="197"/>
    <x v="0"/>
  </r>
  <r>
    <x v="289"/>
    <x v="0"/>
    <x v="1"/>
    <x v="1"/>
    <x v="24"/>
    <x v="197"/>
    <n v="-0.35"/>
    <x v="198"/>
    <x v="0"/>
  </r>
  <r>
    <x v="290"/>
    <x v="0"/>
    <x v="2"/>
    <x v="2"/>
    <x v="24"/>
    <x v="198"/>
    <n v="-0.17"/>
    <x v="88"/>
    <x v="0"/>
  </r>
  <r>
    <x v="291"/>
    <x v="1"/>
    <x v="3"/>
    <x v="3"/>
    <x v="24"/>
    <x v="199"/>
    <n v="1.47"/>
    <x v="199"/>
    <x v="2"/>
  </r>
  <r>
    <x v="292"/>
    <x v="1"/>
    <x v="4"/>
    <x v="4"/>
    <x v="24"/>
    <x v="200"/>
    <n v="1.2"/>
    <x v="200"/>
    <x v="2"/>
  </r>
  <r>
    <x v="293"/>
    <x v="1"/>
    <x v="5"/>
    <x v="5"/>
    <x v="24"/>
    <x v="162"/>
    <n v="0.88"/>
    <x v="201"/>
    <x v="2"/>
  </r>
  <r>
    <x v="294"/>
    <x v="2"/>
    <x v="6"/>
    <x v="6"/>
    <x v="24"/>
    <x v="201"/>
    <n v="0.72"/>
    <x v="202"/>
    <x v="0"/>
  </r>
  <r>
    <x v="295"/>
    <x v="2"/>
    <x v="7"/>
    <x v="7"/>
    <x v="24"/>
    <x v="202"/>
    <n v="-0.88"/>
    <x v="203"/>
    <x v="0"/>
  </r>
  <r>
    <x v="296"/>
    <x v="2"/>
    <x v="8"/>
    <x v="8"/>
    <x v="24"/>
    <x v="203"/>
    <n v="-0.8"/>
    <x v="56"/>
    <x v="0"/>
  </r>
  <r>
    <x v="297"/>
    <x v="3"/>
    <x v="9"/>
    <x v="9"/>
    <x v="24"/>
    <x v="134"/>
    <n v="0.27"/>
    <x v="188"/>
    <x v="0"/>
  </r>
  <r>
    <x v="298"/>
    <x v="3"/>
    <x v="10"/>
    <x v="10"/>
    <x v="24"/>
    <x v="204"/>
    <n v="0.62"/>
    <x v="204"/>
    <x v="0"/>
  </r>
  <r>
    <x v="299"/>
    <x v="3"/>
    <x v="11"/>
    <x v="11"/>
    <x v="24"/>
    <x v="205"/>
    <n v="-1.1399999999999999"/>
    <x v="205"/>
    <x v="2"/>
  </r>
  <r>
    <x v="300"/>
    <x v="0"/>
    <x v="0"/>
    <x v="0"/>
    <x v="25"/>
    <x v="206"/>
    <n v="0.96"/>
    <x v="206"/>
    <x v="2"/>
  </r>
  <r>
    <x v="301"/>
    <x v="0"/>
    <x v="1"/>
    <x v="1"/>
    <x v="25"/>
    <x v="207"/>
    <n v="0.52"/>
    <x v="207"/>
    <x v="0"/>
  </r>
  <r>
    <x v="302"/>
    <x v="0"/>
    <x v="2"/>
    <x v="2"/>
    <x v="25"/>
    <x v="208"/>
    <n v="-7.0000000000000007E-2"/>
    <x v="20"/>
    <x v="0"/>
  </r>
  <r>
    <x v="303"/>
    <x v="1"/>
    <x v="3"/>
    <x v="3"/>
    <x v="25"/>
    <x v="209"/>
    <n v="1.3"/>
    <x v="208"/>
    <x v="2"/>
  </r>
  <r>
    <x v="304"/>
    <x v="1"/>
    <x v="4"/>
    <x v="4"/>
    <x v="25"/>
    <x v="210"/>
    <n v="-0.22"/>
    <x v="209"/>
    <x v="0"/>
  </r>
  <r>
    <x v="305"/>
    <x v="1"/>
    <x v="5"/>
    <x v="5"/>
    <x v="25"/>
    <x v="211"/>
    <n v="-1.06"/>
    <x v="210"/>
    <x v="2"/>
  </r>
  <r>
    <x v="306"/>
    <x v="2"/>
    <x v="6"/>
    <x v="6"/>
    <x v="25"/>
    <x v="212"/>
    <n v="-1.28"/>
    <x v="211"/>
    <x v="2"/>
  </r>
  <r>
    <x v="307"/>
    <x v="2"/>
    <x v="7"/>
    <x v="7"/>
    <x v="25"/>
    <x v="134"/>
    <n v="0.38"/>
    <x v="212"/>
    <x v="0"/>
  </r>
  <r>
    <x v="308"/>
    <x v="2"/>
    <x v="8"/>
    <x v="8"/>
    <x v="25"/>
    <x v="213"/>
    <n v="0.35"/>
    <x v="213"/>
    <x v="0"/>
  </r>
  <r>
    <x v="309"/>
    <x v="3"/>
    <x v="9"/>
    <x v="9"/>
    <x v="25"/>
    <x v="214"/>
    <n v="-0.7"/>
    <x v="103"/>
    <x v="0"/>
  </r>
  <r>
    <x v="310"/>
    <x v="3"/>
    <x v="10"/>
    <x v="10"/>
    <x v="25"/>
    <x v="215"/>
    <n v="0.62"/>
    <x v="214"/>
    <x v="0"/>
  </r>
  <r>
    <x v="311"/>
    <x v="3"/>
    <x v="11"/>
    <x v="11"/>
    <x v="25"/>
    <x v="216"/>
    <n v="1.1200000000000001"/>
    <x v="215"/>
    <x v="2"/>
  </r>
  <r>
    <x v="312"/>
    <x v="0"/>
    <x v="0"/>
    <x v="0"/>
    <x v="26"/>
    <x v="217"/>
    <n v="-7.0000000000000007E-2"/>
    <x v="166"/>
    <x v="0"/>
  </r>
  <r>
    <x v="313"/>
    <x v="0"/>
    <x v="1"/>
    <x v="1"/>
    <x v="26"/>
    <x v="218"/>
    <n v="-0.1"/>
    <x v="216"/>
    <x v="0"/>
  </r>
  <r>
    <x v="314"/>
    <x v="0"/>
    <x v="2"/>
    <x v="2"/>
    <x v="26"/>
    <x v="219"/>
    <n v="1.7"/>
    <x v="217"/>
    <x v="2"/>
  </r>
  <r>
    <x v="315"/>
    <x v="1"/>
    <x v="3"/>
    <x v="3"/>
    <x v="26"/>
    <x v="220"/>
    <n v="1.26"/>
    <x v="218"/>
    <x v="2"/>
  </r>
  <r>
    <x v="316"/>
    <x v="1"/>
    <x v="4"/>
    <x v="4"/>
    <x v="26"/>
    <x v="221"/>
    <n v="-1.6"/>
    <x v="219"/>
    <x v="2"/>
  </r>
  <r>
    <x v="317"/>
    <x v="1"/>
    <x v="5"/>
    <x v="5"/>
    <x v="26"/>
    <x v="222"/>
    <n v="-0.55000000000000004"/>
    <x v="220"/>
    <x v="0"/>
  </r>
  <r>
    <x v="318"/>
    <x v="2"/>
    <x v="6"/>
    <x v="6"/>
    <x v="26"/>
    <x v="223"/>
    <n v="1.07"/>
    <x v="221"/>
    <x v="2"/>
  </r>
  <r>
    <x v="319"/>
    <x v="2"/>
    <x v="7"/>
    <x v="7"/>
    <x v="26"/>
    <x v="224"/>
    <n v="0.85"/>
    <x v="222"/>
    <x v="0"/>
  </r>
  <r>
    <x v="320"/>
    <x v="2"/>
    <x v="8"/>
    <x v="8"/>
    <x v="26"/>
    <x v="225"/>
    <n v="1.82"/>
    <x v="223"/>
    <x v="2"/>
  </r>
  <r>
    <x v="321"/>
    <x v="3"/>
    <x v="9"/>
    <x v="9"/>
    <x v="26"/>
    <x v="226"/>
    <n v="1.35"/>
    <x v="224"/>
    <x v="2"/>
  </r>
  <r>
    <x v="322"/>
    <x v="3"/>
    <x v="10"/>
    <x v="10"/>
    <x v="26"/>
    <x v="227"/>
    <n v="-1.22"/>
    <x v="225"/>
    <x v="2"/>
  </r>
  <r>
    <x v="323"/>
    <x v="3"/>
    <x v="11"/>
    <x v="11"/>
    <x v="26"/>
    <x v="228"/>
    <n v="1.23"/>
    <x v="226"/>
    <x v="2"/>
  </r>
  <r>
    <x v="324"/>
    <x v="0"/>
    <x v="0"/>
    <x v="0"/>
    <x v="27"/>
    <x v="229"/>
    <n v="-0.4"/>
    <x v="227"/>
    <x v="0"/>
  </r>
  <r>
    <x v="325"/>
    <x v="0"/>
    <x v="1"/>
    <x v="1"/>
    <x v="27"/>
    <x v="230"/>
    <n v="-2.81"/>
    <x v="228"/>
    <x v="2"/>
  </r>
  <r>
    <x v="326"/>
    <x v="0"/>
    <x v="2"/>
    <x v="2"/>
    <x v="27"/>
    <x v="231"/>
    <n v="-1.0900000000000001"/>
    <x v="229"/>
    <x v="2"/>
  </r>
  <r>
    <x v="327"/>
    <x v="1"/>
    <x v="3"/>
    <x v="3"/>
    <x v="27"/>
    <x v="232"/>
    <n v="-1.45"/>
    <x v="230"/>
    <x v="2"/>
  </r>
  <r>
    <x v="328"/>
    <x v="1"/>
    <x v="4"/>
    <x v="4"/>
    <x v="27"/>
    <x v="233"/>
    <n v="1.49"/>
    <x v="231"/>
    <x v="2"/>
  </r>
  <r>
    <x v="329"/>
    <x v="1"/>
    <x v="5"/>
    <x v="5"/>
    <x v="27"/>
    <x v="234"/>
    <n v="-1.45"/>
    <x v="232"/>
    <x v="2"/>
  </r>
  <r>
    <x v="330"/>
    <x v="2"/>
    <x v="6"/>
    <x v="6"/>
    <x v="27"/>
    <x v="235"/>
    <n v="0.41"/>
    <x v="233"/>
    <x v="0"/>
  </r>
  <r>
    <x v="331"/>
    <x v="2"/>
    <x v="7"/>
    <x v="7"/>
    <x v="27"/>
    <x v="236"/>
    <n v="0.37"/>
    <x v="234"/>
    <x v="0"/>
  </r>
  <r>
    <x v="332"/>
    <x v="2"/>
    <x v="8"/>
    <x v="8"/>
    <x v="27"/>
    <x v="237"/>
    <n v="-0.04"/>
    <x v="235"/>
    <x v="0"/>
  </r>
  <r>
    <x v="333"/>
    <x v="3"/>
    <x v="9"/>
    <x v="9"/>
    <x v="27"/>
    <x v="238"/>
    <n v="1.38"/>
    <x v="236"/>
    <x v="2"/>
  </r>
  <r>
    <x v="334"/>
    <x v="3"/>
    <x v="10"/>
    <x v="10"/>
    <x v="27"/>
    <x v="239"/>
    <n v="-0.95"/>
    <x v="237"/>
    <x v="0"/>
  </r>
  <r>
    <x v="335"/>
    <x v="3"/>
    <x v="11"/>
    <x v="11"/>
    <x v="27"/>
    <x v="240"/>
    <n v="-2"/>
    <x v="238"/>
    <x v="2"/>
  </r>
  <r>
    <x v="336"/>
    <x v="0"/>
    <x v="0"/>
    <x v="0"/>
    <x v="28"/>
    <x v="241"/>
    <n v="-2.09"/>
    <x v="239"/>
    <x v="2"/>
  </r>
  <r>
    <x v="337"/>
    <x v="0"/>
    <x v="1"/>
    <x v="1"/>
    <x v="28"/>
    <x v="242"/>
    <n v="-0.9"/>
    <x v="240"/>
    <x v="2"/>
  </r>
  <r>
    <x v="338"/>
    <x v="0"/>
    <x v="2"/>
    <x v="2"/>
    <x v="28"/>
    <x v="243"/>
    <n v="-0.98"/>
    <x v="241"/>
    <x v="2"/>
  </r>
  <r>
    <x v="339"/>
    <x v="1"/>
    <x v="3"/>
    <x v="3"/>
    <x v="28"/>
    <x v="244"/>
    <n v="0.38"/>
    <x v="139"/>
    <x v="0"/>
  </r>
  <r>
    <x v="340"/>
    <x v="1"/>
    <x v="4"/>
    <x v="4"/>
    <x v="28"/>
    <x v="245"/>
    <n v="0.53"/>
    <x v="242"/>
    <x v="0"/>
  </r>
  <r>
    <x v="341"/>
    <x v="1"/>
    <x v="5"/>
    <x v="5"/>
    <x v="28"/>
    <x v="246"/>
    <n v="-1.55"/>
    <x v="243"/>
    <x v="2"/>
  </r>
  <r>
    <x v="342"/>
    <x v="2"/>
    <x v="6"/>
    <x v="6"/>
    <x v="28"/>
    <x v="247"/>
    <n v="0.22"/>
    <x v="244"/>
    <x v="0"/>
  </r>
  <r>
    <x v="343"/>
    <x v="2"/>
    <x v="7"/>
    <x v="7"/>
    <x v="28"/>
    <x v="248"/>
    <n v="-0.21"/>
    <x v="245"/>
    <x v="0"/>
  </r>
  <r>
    <x v="344"/>
    <x v="2"/>
    <x v="8"/>
    <x v="8"/>
    <x v="28"/>
    <x v="249"/>
    <n v="1.32"/>
    <x v="246"/>
    <x v="2"/>
  </r>
  <r>
    <x v="345"/>
    <x v="3"/>
    <x v="9"/>
    <x v="9"/>
    <x v="28"/>
    <x v="250"/>
    <n v="-0.54"/>
    <x v="247"/>
    <x v="0"/>
  </r>
  <r>
    <x v="346"/>
    <x v="3"/>
    <x v="10"/>
    <x v="10"/>
    <x v="28"/>
    <x v="251"/>
    <n v="-1.38"/>
    <x v="248"/>
    <x v="2"/>
  </r>
  <r>
    <x v="347"/>
    <x v="3"/>
    <x v="11"/>
    <x v="11"/>
    <x v="28"/>
    <x v="252"/>
    <n v="-1.47"/>
    <x v="249"/>
    <x v="2"/>
  </r>
  <r>
    <x v="348"/>
    <x v="0"/>
    <x v="0"/>
    <x v="0"/>
    <x v="29"/>
    <x v="253"/>
    <n v="1.03"/>
    <x v="250"/>
    <x v="2"/>
  </r>
  <r>
    <x v="349"/>
    <x v="0"/>
    <x v="1"/>
    <x v="1"/>
    <x v="29"/>
    <x v="254"/>
    <n v="-0.69"/>
    <x v="251"/>
    <x v="2"/>
  </r>
  <r>
    <x v="350"/>
    <x v="0"/>
    <x v="2"/>
    <x v="2"/>
    <x v="29"/>
    <x v="255"/>
    <n v="2.41"/>
    <x v="252"/>
    <x v="2"/>
  </r>
  <r>
    <x v="351"/>
    <x v="1"/>
    <x v="3"/>
    <x v="3"/>
    <x v="29"/>
    <x v="256"/>
    <n v="2.7"/>
    <x v="253"/>
    <x v="2"/>
  </r>
  <r>
    <x v="352"/>
    <x v="1"/>
    <x v="4"/>
    <x v="4"/>
    <x v="29"/>
    <x v="257"/>
    <n v="0.2"/>
    <x v="254"/>
    <x v="0"/>
  </r>
  <r>
    <x v="353"/>
    <x v="1"/>
    <x v="5"/>
    <x v="5"/>
    <x v="29"/>
    <x v="258"/>
    <n v="0.33"/>
    <x v="255"/>
    <x v="0"/>
  </r>
  <r>
    <x v="354"/>
    <x v="2"/>
    <x v="6"/>
    <x v="6"/>
    <x v="29"/>
    <x v="259"/>
    <n v="2.59"/>
    <x v="256"/>
    <x v="2"/>
  </r>
  <r>
    <x v="355"/>
    <x v="2"/>
    <x v="7"/>
    <x v="7"/>
    <x v="29"/>
    <x v="260"/>
    <n v="1.28"/>
    <x v="257"/>
    <x v="2"/>
  </r>
  <r>
    <x v="356"/>
    <x v="2"/>
    <x v="8"/>
    <x v="8"/>
    <x v="29"/>
    <x v="261"/>
    <n v="2.4300000000000002"/>
    <x v="258"/>
    <x v="2"/>
  </r>
  <r>
    <x v="357"/>
    <x v="3"/>
    <x v="9"/>
    <x v="9"/>
    <x v="29"/>
    <x v="262"/>
    <n v="-0.75"/>
    <x v="259"/>
    <x v="0"/>
  </r>
  <r>
    <x v="358"/>
    <x v="3"/>
    <x v="10"/>
    <x v="10"/>
    <x v="29"/>
    <x v="263"/>
    <n v="2.21"/>
    <x v="260"/>
    <x v="2"/>
  </r>
  <r>
    <x v="359"/>
    <x v="3"/>
    <x v="11"/>
    <x v="11"/>
    <x v="29"/>
    <x v="264"/>
    <n v="0.94"/>
    <x v="194"/>
    <x v="0"/>
  </r>
  <r>
    <x v="360"/>
    <x v="0"/>
    <x v="0"/>
    <x v="0"/>
    <x v="30"/>
    <x v="265"/>
    <n v="0.21"/>
    <x v="261"/>
    <x v="0"/>
  </r>
  <r>
    <x v="361"/>
    <x v="0"/>
    <x v="1"/>
    <x v="1"/>
    <x v="30"/>
    <x v="266"/>
    <n v="1.91"/>
    <x v="262"/>
    <x v="2"/>
  </r>
  <r>
    <x v="362"/>
    <x v="0"/>
    <x v="2"/>
    <x v="2"/>
    <x v="30"/>
    <x v="267"/>
    <n v="0.27"/>
    <x v="263"/>
    <x v="0"/>
  </r>
  <r>
    <x v="363"/>
    <x v="1"/>
    <x v="3"/>
    <x v="3"/>
    <x v="30"/>
    <x v="268"/>
    <n v="-4.0199999999999996"/>
    <x v="264"/>
    <x v="2"/>
  </r>
  <r>
    <x v="364"/>
    <x v="1"/>
    <x v="4"/>
    <x v="4"/>
    <x v="30"/>
    <x v="269"/>
    <n v="3.72"/>
    <x v="265"/>
    <x v="2"/>
  </r>
  <r>
    <x v="365"/>
    <x v="1"/>
    <x v="5"/>
    <x v="5"/>
    <x v="30"/>
    <x v="270"/>
    <n v="2.4300000000000002"/>
    <x v="266"/>
    <x v="2"/>
  </r>
  <r>
    <x v="366"/>
    <x v="2"/>
    <x v="6"/>
    <x v="6"/>
    <x v="30"/>
    <x v="271"/>
    <n v="-1.44"/>
    <x v="267"/>
    <x v="0"/>
  </r>
  <r>
    <x v="367"/>
    <x v="2"/>
    <x v="7"/>
    <x v="7"/>
    <x v="30"/>
    <x v="272"/>
    <n v="1.0900000000000001"/>
    <x v="268"/>
    <x v="0"/>
  </r>
  <r>
    <x v="368"/>
    <x v="2"/>
    <x v="8"/>
    <x v="8"/>
    <x v="30"/>
    <x v="273"/>
    <n v="2.82"/>
    <x v="269"/>
    <x v="2"/>
  </r>
  <r>
    <x v="369"/>
    <x v="3"/>
    <x v="9"/>
    <x v="9"/>
    <x v="30"/>
    <x v="274"/>
    <n v="-0.68"/>
    <x v="146"/>
    <x v="0"/>
  </r>
  <r>
    <x v="370"/>
    <x v="3"/>
    <x v="10"/>
    <x v="10"/>
    <x v="30"/>
    <x v="275"/>
    <n v="0.93"/>
    <x v="270"/>
    <x v="0"/>
  </r>
  <r>
    <x v="371"/>
    <x v="3"/>
    <x v="11"/>
    <x v="11"/>
    <x v="30"/>
    <x v="276"/>
    <n v="-7.13"/>
    <x v="271"/>
    <x v="2"/>
  </r>
  <r>
    <x v="372"/>
    <x v="0"/>
    <x v="0"/>
    <x v="0"/>
    <x v="31"/>
    <x v="277"/>
    <n v="0.75"/>
    <x v="272"/>
    <x v="0"/>
  </r>
  <r>
    <x v="373"/>
    <x v="0"/>
    <x v="1"/>
    <x v="1"/>
    <x v="31"/>
    <x v="278"/>
    <n v="1.28"/>
    <x v="273"/>
    <x v="0"/>
  </r>
  <r>
    <x v="374"/>
    <x v="0"/>
    <x v="2"/>
    <x v="2"/>
    <x v="31"/>
    <x v="279"/>
    <n v="-2.2200000000000002"/>
    <x v="274"/>
    <x v="2"/>
  </r>
  <r>
    <x v="375"/>
    <x v="1"/>
    <x v="3"/>
    <x v="3"/>
    <x v="31"/>
    <x v="280"/>
    <n v="0.7"/>
    <x v="275"/>
    <x v="0"/>
  </r>
  <r>
    <x v="376"/>
    <x v="1"/>
    <x v="4"/>
    <x v="4"/>
    <x v="31"/>
    <x v="281"/>
    <n v="1.83"/>
    <x v="276"/>
    <x v="2"/>
  </r>
  <r>
    <x v="377"/>
    <x v="1"/>
    <x v="5"/>
    <x v="5"/>
    <x v="31"/>
    <x v="282"/>
    <n v="-0.57999999999999996"/>
    <x v="277"/>
    <x v="0"/>
  </r>
  <r>
    <x v="378"/>
    <x v="2"/>
    <x v="6"/>
    <x v="6"/>
    <x v="31"/>
    <x v="283"/>
    <n v="-2.16"/>
    <x v="278"/>
    <x v="2"/>
  </r>
  <r>
    <x v="379"/>
    <x v="2"/>
    <x v="7"/>
    <x v="7"/>
    <x v="31"/>
    <x v="284"/>
    <n v="1.02"/>
    <x v="279"/>
    <x v="0"/>
  </r>
  <r>
    <x v="380"/>
    <x v="2"/>
    <x v="8"/>
    <x v="8"/>
    <x v="31"/>
    <x v="285"/>
    <n v="-0.61"/>
    <x v="280"/>
    <x v="0"/>
  </r>
  <r>
    <x v="381"/>
    <x v="3"/>
    <x v="9"/>
    <x v="9"/>
    <x v="31"/>
    <x v="286"/>
    <n v="-4.4800000000000004"/>
    <x v="281"/>
    <x v="2"/>
  </r>
  <r>
    <x v="382"/>
    <x v="3"/>
    <x v="10"/>
    <x v="10"/>
    <x v="31"/>
    <x v="287"/>
    <n v="-2.04"/>
    <x v="282"/>
    <x v="2"/>
  </r>
  <r>
    <x v="383"/>
    <x v="3"/>
    <x v="11"/>
    <x v="11"/>
    <x v="31"/>
    <x v="288"/>
    <n v="-0.17"/>
    <x v="283"/>
    <x v="0"/>
  </r>
  <r>
    <x v="384"/>
    <x v="0"/>
    <x v="0"/>
    <x v="0"/>
    <x v="32"/>
    <x v="289"/>
    <n v="0.64"/>
    <x v="284"/>
    <x v="0"/>
  </r>
  <r>
    <x v="385"/>
    <x v="0"/>
    <x v="1"/>
    <x v="1"/>
    <x v="32"/>
    <x v="290"/>
    <n v="0.82"/>
    <x v="285"/>
    <x v="0"/>
  </r>
  <r>
    <x v="386"/>
    <x v="0"/>
    <x v="2"/>
    <x v="2"/>
    <x v="32"/>
    <x v="291"/>
    <n v="3.67"/>
    <x v="286"/>
    <x v="2"/>
  </r>
  <r>
    <x v="387"/>
    <x v="1"/>
    <x v="3"/>
    <x v="3"/>
    <x v="32"/>
    <x v="292"/>
    <n v="1.79"/>
    <x v="287"/>
    <x v="2"/>
  </r>
  <r>
    <x v="388"/>
    <x v="1"/>
    <x v="4"/>
    <x v="4"/>
    <x v="32"/>
    <x v="293"/>
    <n v="0.24"/>
    <x v="288"/>
    <x v="0"/>
  </r>
  <r>
    <x v="389"/>
    <x v="1"/>
    <x v="5"/>
    <x v="5"/>
    <x v="32"/>
    <x v="294"/>
    <n v="-1.18"/>
    <x v="289"/>
    <x v="0"/>
  </r>
  <r>
    <x v="390"/>
    <x v="2"/>
    <x v="6"/>
    <x v="6"/>
    <x v="32"/>
    <x v="295"/>
    <n v="1.27"/>
    <x v="152"/>
    <x v="2"/>
  </r>
  <r>
    <x v="391"/>
    <x v="2"/>
    <x v="7"/>
    <x v="7"/>
    <x v="32"/>
    <x v="296"/>
    <n v="1.02"/>
    <x v="290"/>
    <x v="0"/>
  </r>
  <r>
    <x v="392"/>
    <x v="2"/>
    <x v="8"/>
    <x v="8"/>
    <x v="32"/>
    <x v="297"/>
    <n v="1.5"/>
    <x v="291"/>
    <x v="2"/>
  </r>
  <r>
    <x v="393"/>
    <x v="3"/>
    <x v="9"/>
    <x v="9"/>
    <x v="32"/>
    <x v="298"/>
    <n v="-0.75"/>
    <x v="292"/>
    <x v="0"/>
  </r>
  <r>
    <x v="394"/>
    <x v="3"/>
    <x v="10"/>
    <x v="10"/>
    <x v="32"/>
    <x v="299"/>
    <n v="-2.98"/>
    <x v="293"/>
    <x v="2"/>
  </r>
  <r>
    <x v="395"/>
    <x v="3"/>
    <x v="11"/>
    <x v="11"/>
    <x v="32"/>
    <x v="300"/>
    <n v="3.34"/>
    <x v="294"/>
    <x v="2"/>
  </r>
  <r>
    <x v="396"/>
    <x v="0"/>
    <x v="0"/>
    <x v="0"/>
    <x v="33"/>
    <x v="301"/>
    <n v="2.86"/>
    <x v="295"/>
    <x v="2"/>
  </r>
  <r>
    <x v="397"/>
    <x v="0"/>
    <x v="1"/>
    <x v="1"/>
    <x v="33"/>
    <x v="302"/>
    <n v="2.13"/>
    <x v="296"/>
    <x v="2"/>
  </r>
  <r>
    <x v="398"/>
    <x v="0"/>
    <x v="2"/>
    <x v="2"/>
    <x v="33"/>
    <x v="303"/>
    <n v="-2.52"/>
    <x v="297"/>
    <x v="2"/>
  </r>
  <r>
    <x v="399"/>
    <x v="1"/>
    <x v="3"/>
    <x v="3"/>
    <x v="33"/>
    <x v="304"/>
    <n v="-4.8"/>
    <x v="298"/>
    <x v="2"/>
  </r>
  <r>
    <x v="400"/>
    <x v="1"/>
    <x v="4"/>
    <x v="4"/>
    <x v="33"/>
    <x v="305"/>
    <n v="0.51"/>
    <x v="299"/>
    <x v="0"/>
  </r>
  <r>
    <x v="401"/>
    <x v="1"/>
    <x v="5"/>
    <x v="5"/>
    <x v="33"/>
    <x v="306"/>
    <n v="1.85"/>
    <x v="276"/>
    <x v="2"/>
  </r>
  <r>
    <x v="402"/>
    <x v="2"/>
    <x v="6"/>
    <x v="6"/>
    <x v="33"/>
    <x v="307"/>
    <n v="0.67"/>
    <x v="300"/>
    <x v="0"/>
  </r>
  <r>
    <x v="403"/>
    <x v="2"/>
    <x v="7"/>
    <x v="7"/>
    <x v="33"/>
    <x v="308"/>
    <n v="1.08"/>
    <x v="301"/>
    <x v="0"/>
  </r>
  <r>
    <x v="404"/>
    <x v="2"/>
    <x v="8"/>
    <x v="8"/>
    <x v="33"/>
    <x v="309"/>
    <n v="-2.79"/>
    <x v="302"/>
    <x v="2"/>
  </r>
  <r>
    <x v="405"/>
    <x v="3"/>
    <x v="9"/>
    <x v="9"/>
    <x v="33"/>
    <x v="310"/>
    <n v="2.13"/>
    <x v="303"/>
    <x v="2"/>
  </r>
  <r>
    <x v="406"/>
    <x v="3"/>
    <x v="10"/>
    <x v="10"/>
    <x v="33"/>
    <x v="311"/>
    <n v="0.11"/>
    <x v="304"/>
    <x v="0"/>
  </r>
  <r>
    <x v="407"/>
    <x v="3"/>
    <x v="11"/>
    <x v="11"/>
    <x v="33"/>
    <x v="312"/>
    <n v="0.85"/>
    <x v="305"/>
    <x v="0"/>
  </r>
  <r>
    <x v="408"/>
    <x v="0"/>
    <x v="0"/>
    <x v="0"/>
    <x v="34"/>
    <x v="313"/>
    <n v="1.4"/>
    <x v="306"/>
    <x v="0"/>
  </r>
  <r>
    <x v="409"/>
    <x v="0"/>
    <x v="1"/>
    <x v="1"/>
    <x v="34"/>
    <x v="314"/>
    <n v="-0.04"/>
    <x v="106"/>
    <x v="0"/>
  </r>
  <r>
    <x v="410"/>
    <x v="0"/>
    <x v="2"/>
    <x v="2"/>
    <x v="34"/>
    <x v="315"/>
    <n v="2.33"/>
    <x v="307"/>
    <x v="2"/>
  </r>
  <r>
    <x v="411"/>
    <x v="1"/>
    <x v="3"/>
    <x v="3"/>
    <x v="34"/>
    <x v="316"/>
    <n v="0.05"/>
    <x v="92"/>
    <x v="0"/>
  </r>
  <r>
    <x v="412"/>
    <x v="1"/>
    <x v="4"/>
    <x v="4"/>
    <x v="34"/>
    <x v="317"/>
    <n v="3.85"/>
    <x v="308"/>
    <x v="2"/>
  </r>
  <r>
    <x v="413"/>
    <x v="1"/>
    <x v="5"/>
    <x v="5"/>
    <x v="34"/>
    <x v="318"/>
    <n v="-2.02"/>
    <x v="309"/>
    <x v="2"/>
  </r>
  <r>
    <x v="414"/>
    <x v="2"/>
    <x v="6"/>
    <x v="6"/>
    <x v="34"/>
    <x v="319"/>
    <n v="2.35"/>
    <x v="310"/>
    <x v="2"/>
  </r>
  <r>
    <x v="415"/>
    <x v="2"/>
    <x v="7"/>
    <x v="7"/>
    <x v="34"/>
    <x v="320"/>
    <n v="4.1900000000000004"/>
    <x v="311"/>
    <x v="2"/>
  </r>
  <r>
    <x v="416"/>
    <x v="2"/>
    <x v="8"/>
    <x v="8"/>
    <x v="34"/>
    <x v="321"/>
    <n v="-0.49"/>
    <x v="312"/>
    <x v="0"/>
  </r>
  <r>
    <x v="417"/>
    <x v="3"/>
    <x v="9"/>
    <x v="9"/>
    <x v="34"/>
    <x v="322"/>
    <n v="5.28"/>
    <x v="313"/>
    <x v="2"/>
  </r>
  <r>
    <x v="418"/>
    <x v="3"/>
    <x v="10"/>
    <x v="10"/>
    <x v="34"/>
    <x v="323"/>
    <n v="-4.76"/>
    <x v="314"/>
    <x v="2"/>
  </r>
  <r>
    <x v="419"/>
    <x v="3"/>
    <x v="11"/>
    <x v="11"/>
    <x v="34"/>
    <x v="324"/>
    <n v="-3.08"/>
    <x v="315"/>
    <x v="2"/>
  </r>
  <r>
    <x v="420"/>
    <x v="0"/>
    <x v="0"/>
    <x v="0"/>
    <x v="35"/>
    <x v="325"/>
    <n v="3.93"/>
    <x v="316"/>
    <x v="2"/>
  </r>
  <r>
    <x v="421"/>
    <x v="0"/>
    <x v="1"/>
    <x v="1"/>
    <x v="35"/>
    <x v="326"/>
    <n v="1.85"/>
    <x v="317"/>
    <x v="0"/>
  </r>
  <r>
    <x v="422"/>
    <x v="0"/>
    <x v="2"/>
    <x v="2"/>
    <x v="35"/>
    <x v="327"/>
    <n v="6.12"/>
    <x v="318"/>
    <x v="2"/>
  </r>
  <r>
    <x v="423"/>
    <x v="1"/>
    <x v="3"/>
    <x v="3"/>
    <x v="35"/>
    <x v="328"/>
    <n v="-0.3"/>
    <x v="319"/>
    <x v="0"/>
  </r>
  <r>
    <x v="424"/>
    <x v="1"/>
    <x v="4"/>
    <x v="4"/>
    <x v="35"/>
    <x v="329"/>
    <n v="-2.81"/>
    <x v="320"/>
    <x v="2"/>
  </r>
  <r>
    <x v="425"/>
    <x v="1"/>
    <x v="5"/>
    <x v="5"/>
    <x v="35"/>
    <x v="330"/>
    <n v="6.06"/>
    <x v="321"/>
    <x v="2"/>
  </r>
  <r>
    <x v="426"/>
    <x v="2"/>
    <x v="6"/>
    <x v="6"/>
    <x v="35"/>
    <x v="331"/>
    <n v="2.48"/>
    <x v="322"/>
    <x v="0"/>
  </r>
  <r>
    <x v="427"/>
    <x v="2"/>
    <x v="7"/>
    <x v="7"/>
    <x v="35"/>
    <x v="332"/>
    <n v="5.52"/>
    <x v="323"/>
    <x v="2"/>
  </r>
  <r>
    <x v="428"/>
    <x v="2"/>
    <x v="8"/>
    <x v="8"/>
    <x v="35"/>
    <x v="333"/>
    <n v="-0.2"/>
    <x v="183"/>
    <x v="0"/>
  </r>
  <r>
    <x v="429"/>
    <x v="3"/>
    <x v="9"/>
    <x v="9"/>
    <x v="35"/>
    <x v="334"/>
    <n v="-3.5"/>
    <x v="324"/>
    <x v="2"/>
  </r>
  <r>
    <x v="430"/>
    <x v="3"/>
    <x v="10"/>
    <x v="10"/>
    <x v="35"/>
    <x v="335"/>
    <n v="-3.14"/>
    <x v="325"/>
    <x v="2"/>
  </r>
  <r>
    <x v="431"/>
    <x v="3"/>
    <x v="11"/>
    <x v="11"/>
    <x v="35"/>
    <x v="336"/>
    <n v="1.39"/>
    <x v="326"/>
    <x v="0"/>
  </r>
  <r>
    <x v="432"/>
    <x v="0"/>
    <x v="0"/>
    <x v="0"/>
    <x v="36"/>
    <x v="337"/>
    <n v="6.03"/>
    <x v="327"/>
    <x v="2"/>
  </r>
  <r>
    <x v="433"/>
    <x v="0"/>
    <x v="1"/>
    <x v="1"/>
    <x v="36"/>
    <x v="338"/>
    <n v="-2.75"/>
    <x v="328"/>
    <x v="0"/>
  </r>
  <r>
    <x v="434"/>
    <x v="0"/>
    <x v="2"/>
    <x v="2"/>
    <x v="36"/>
    <x v="339"/>
    <n v="1.22"/>
    <x v="255"/>
    <x v="0"/>
  </r>
  <r>
    <x v="435"/>
    <x v="1"/>
    <x v="3"/>
    <x v="3"/>
    <x v="36"/>
    <x v="340"/>
    <n v="7.04"/>
    <x v="329"/>
    <x v="2"/>
  </r>
  <r>
    <x v="436"/>
    <x v="1"/>
    <x v="4"/>
    <x v="4"/>
    <x v="36"/>
    <x v="341"/>
    <n v="0.71"/>
    <x v="330"/>
    <x v="0"/>
  </r>
  <r>
    <x v="437"/>
    <x v="1"/>
    <x v="5"/>
    <x v="5"/>
    <x v="36"/>
    <x v="342"/>
    <n v="-0.39"/>
    <x v="331"/>
    <x v="0"/>
  </r>
  <r>
    <x v="438"/>
    <x v="2"/>
    <x v="6"/>
    <x v="6"/>
    <x v="36"/>
    <x v="343"/>
    <n v="4.16"/>
    <x v="332"/>
    <x v="2"/>
  </r>
  <r>
    <x v="439"/>
    <x v="2"/>
    <x v="7"/>
    <x v="7"/>
    <x v="36"/>
    <x v="344"/>
    <n v="-0.64"/>
    <x v="333"/>
    <x v="0"/>
  </r>
  <r>
    <x v="440"/>
    <x v="2"/>
    <x v="8"/>
    <x v="8"/>
    <x v="36"/>
    <x v="345"/>
    <n v="-9.69"/>
    <x v="334"/>
    <x v="2"/>
  </r>
  <r>
    <x v="441"/>
    <x v="3"/>
    <x v="9"/>
    <x v="9"/>
    <x v="36"/>
    <x v="346"/>
    <n v="-4.21"/>
    <x v="335"/>
    <x v="2"/>
  </r>
  <r>
    <x v="442"/>
    <x v="3"/>
    <x v="10"/>
    <x v="10"/>
    <x v="36"/>
    <x v="347"/>
    <n v="0.23"/>
    <x v="22"/>
    <x v="0"/>
  </r>
  <r>
    <x v="443"/>
    <x v="3"/>
    <x v="11"/>
    <x v="11"/>
    <x v="36"/>
    <x v="348"/>
    <n v="2.85"/>
    <x v="336"/>
    <x v="0"/>
  </r>
  <r>
    <x v="444"/>
    <x v="0"/>
    <x v="0"/>
    <x v="0"/>
    <x v="37"/>
    <x v="349"/>
    <n v="-7.48"/>
    <x v="337"/>
    <x v="2"/>
  </r>
  <r>
    <x v="445"/>
    <x v="0"/>
    <x v="1"/>
    <x v="1"/>
    <x v="37"/>
    <x v="350"/>
    <n v="4.05"/>
    <x v="338"/>
    <x v="2"/>
  </r>
  <r>
    <x v="446"/>
    <x v="0"/>
    <x v="2"/>
    <x v="2"/>
    <x v="37"/>
    <x v="351"/>
    <n v="3.04"/>
    <x v="339"/>
    <x v="2"/>
  </r>
  <r>
    <x v="447"/>
    <x v="1"/>
    <x v="3"/>
    <x v="3"/>
    <x v="37"/>
    <x v="352"/>
    <n v="4.46"/>
    <x v="340"/>
    <x v="2"/>
  </r>
  <r>
    <x v="448"/>
    <x v="1"/>
    <x v="4"/>
    <x v="4"/>
    <x v="37"/>
    <x v="353"/>
    <n v="0.1"/>
    <x v="341"/>
    <x v="0"/>
  </r>
  <r>
    <x v="449"/>
    <x v="1"/>
    <x v="5"/>
    <x v="5"/>
    <x v="37"/>
    <x v="354"/>
    <n v="3.03"/>
    <x v="179"/>
    <x v="0"/>
  </r>
  <r>
    <x v="450"/>
    <x v="2"/>
    <x v="6"/>
    <x v="6"/>
    <x v="37"/>
    <x v="355"/>
    <n v="5.41"/>
    <x v="342"/>
    <x v="2"/>
  </r>
  <r>
    <x v="451"/>
    <x v="2"/>
    <x v="7"/>
    <x v="7"/>
    <x v="37"/>
    <x v="356"/>
    <n v="-3.47"/>
    <x v="343"/>
    <x v="0"/>
  </r>
  <r>
    <x v="452"/>
    <x v="2"/>
    <x v="8"/>
    <x v="8"/>
    <x v="37"/>
    <x v="357"/>
    <n v="6.64"/>
    <x v="344"/>
    <x v="2"/>
  </r>
  <r>
    <x v="453"/>
    <x v="3"/>
    <x v="9"/>
    <x v="9"/>
    <x v="37"/>
    <x v="358"/>
    <n v="5.2"/>
    <x v="178"/>
    <x v="2"/>
  </r>
  <r>
    <x v="454"/>
    <x v="3"/>
    <x v="10"/>
    <x v="10"/>
    <x v="37"/>
    <x v="359"/>
    <n v="9.3699999999999992"/>
    <x v="345"/>
    <x v="2"/>
  </r>
  <r>
    <x v="455"/>
    <x v="3"/>
    <x v="11"/>
    <x v="11"/>
    <x v="37"/>
    <x v="360"/>
    <n v="-1.82"/>
    <x v="346"/>
    <x v="0"/>
  </r>
  <r>
    <x v="456"/>
    <x v="0"/>
    <x v="0"/>
    <x v="0"/>
    <x v="38"/>
    <x v="361"/>
    <n v="1.17"/>
    <x v="347"/>
    <x v="0"/>
  </r>
  <r>
    <x v="457"/>
    <x v="0"/>
    <x v="1"/>
    <x v="1"/>
    <x v="38"/>
    <x v="362"/>
    <n v="2.7"/>
    <x v="348"/>
    <x v="0"/>
  </r>
  <r>
    <x v="458"/>
    <x v="0"/>
    <x v="2"/>
    <x v="2"/>
    <x v="38"/>
    <x v="363"/>
    <n v="8.4600000000000009"/>
    <x v="349"/>
    <x v="2"/>
  </r>
  <r>
    <x v="459"/>
    <x v="1"/>
    <x v="3"/>
    <x v="3"/>
    <x v="38"/>
    <x v="364"/>
    <n v="6.92"/>
    <x v="350"/>
    <x v="2"/>
  </r>
  <r>
    <x v="460"/>
    <x v="1"/>
    <x v="4"/>
    <x v="4"/>
    <x v="38"/>
    <x v="365"/>
    <n v="13.87"/>
    <x v="351"/>
    <x v="2"/>
  </r>
  <r>
    <x v="461"/>
    <x v="1"/>
    <x v="5"/>
    <x v="5"/>
    <x v="38"/>
    <x v="366"/>
    <n v="8.89"/>
    <x v="352"/>
    <x v="2"/>
  </r>
  <r>
    <x v="462"/>
    <x v="2"/>
    <x v="6"/>
    <x v="6"/>
    <x v="38"/>
    <x v="367"/>
    <n v="1.3"/>
    <x v="263"/>
    <x v="0"/>
  </r>
  <r>
    <x v="463"/>
    <x v="2"/>
    <x v="7"/>
    <x v="7"/>
    <x v="38"/>
    <x v="368"/>
    <n v="-18.260000000000002"/>
    <x v="353"/>
    <x v="2"/>
  </r>
  <r>
    <x v="464"/>
    <x v="2"/>
    <x v="8"/>
    <x v="8"/>
    <x v="38"/>
    <x v="369"/>
    <n v="-14.91"/>
    <x v="354"/>
    <x v="2"/>
  </r>
  <r>
    <x v="465"/>
    <x v="3"/>
    <x v="9"/>
    <x v="9"/>
    <x v="38"/>
    <x v="370"/>
    <n v="-26.96"/>
    <x v="355"/>
    <x v="1"/>
  </r>
  <r>
    <x v="466"/>
    <x v="3"/>
    <x v="10"/>
    <x v="10"/>
    <x v="38"/>
    <x v="371"/>
    <n v="-18.72"/>
    <x v="356"/>
    <x v="1"/>
  </r>
  <r>
    <x v="467"/>
    <x v="3"/>
    <x v="11"/>
    <x v="11"/>
    <x v="38"/>
    <x v="372"/>
    <n v="-12.63"/>
    <x v="357"/>
    <x v="2"/>
  </r>
  <r>
    <x v="468"/>
    <x v="0"/>
    <x v="0"/>
    <x v="0"/>
    <x v="39"/>
    <x v="373"/>
    <n v="2.52"/>
    <x v="332"/>
    <x v="2"/>
  </r>
  <r>
    <x v="469"/>
    <x v="0"/>
    <x v="1"/>
    <x v="1"/>
    <x v="39"/>
    <x v="374"/>
    <n v="-2.0099999999999998"/>
    <x v="60"/>
    <x v="0"/>
  </r>
  <r>
    <x v="470"/>
    <x v="0"/>
    <x v="2"/>
    <x v="2"/>
    <x v="39"/>
    <x v="375"/>
    <n v="4.8"/>
    <x v="358"/>
    <x v="2"/>
  </r>
  <r>
    <x v="471"/>
    <x v="1"/>
    <x v="3"/>
    <x v="3"/>
    <x v="39"/>
    <x v="376"/>
    <n v="3.63"/>
    <x v="359"/>
    <x v="2"/>
  </r>
  <r>
    <x v="472"/>
    <x v="1"/>
    <x v="4"/>
    <x v="4"/>
    <x v="39"/>
    <x v="377"/>
    <n v="7.88"/>
    <x v="360"/>
    <x v="2"/>
  </r>
  <r>
    <x v="473"/>
    <x v="1"/>
    <x v="5"/>
    <x v="5"/>
    <x v="39"/>
    <x v="378"/>
    <n v="11"/>
    <x v="32"/>
    <x v="2"/>
  </r>
  <r>
    <x v="474"/>
    <x v="2"/>
    <x v="6"/>
    <x v="6"/>
    <x v="39"/>
    <x v="379"/>
    <n v="-4.4800000000000004"/>
    <x v="361"/>
    <x v="2"/>
  </r>
  <r>
    <x v="475"/>
    <x v="2"/>
    <x v="7"/>
    <x v="7"/>
    <x v="39"/>
    <x v="380"/>
    <n v="6.96"/>
    <x v="199"/>
    <x v="2"/>
  </r>
  <r>
    <x v="476"/>
    <x v="2"/>
    <x v="8"/>
    <x v="8"/>
    <x v="39"/>
    <x v="381"/>
    <n v="-3.28"/>
    <x v="362"/>
    <x v="0"/>
  </r>
  <r>
    <x v="477"/>
    <x v="3"/>
    <x v="9"/>
    <x v="9"/>
    <x v="39"/>
    <x v="382"/>
    <n v="5.73"/>
    <x v="363"/>
    <x v="2"/>
  </r>
  <r>
    <x v="478"/>
    <x v="3"/>
    <x v="10"/>
    <x v="10"/>
    <x v="39"/>
    <x v="383"/>
    <n v="3.47"/>
    <x v="364"/>
    <x v="0"/>
  </r>
  <r>
    <x v="479"/>
    <x v="3"/>
    <x v="11"/>
    <x v="11"/>
    <x v="39"/>
    <x v="384"/>
    <n v="-2.67"/>
    <x v="365"/>
    <x v="0"/>
  </r>
  <r>
    <x v="480"/>
    <x v="0"/>
    <x v="0"/>
    <x v="0"/>
    <x v="40"/>
    <x v="385"/>
    <n v="2.2400000000000002"/>
    <x v="272"/>
    <x v="0"/>
  </r>
  <r>
    <x v="481"/>
    <x v="0"/>
    <x v="1"/>
    <x v="1"/>
    <x v="40"/>
    <x v="386"/>
    <n v="-2.36"/>
    <x v="366"/>
    <x v="0"/>
  </r>
  <r>
    <x v="482"/>
    <x v="0"/>
    <x v="2"/>
    <x v="2"/>
    <x v="40"/>
    <x v="387"/>
    <n v="4.53"/>
    <x v="367"/>
    <x v="2"/>
  </r>
  <r>
    <x v="483"/>
    <x v="1"/>
    <x v="3"/>
    <x v="3"/>
    <x v="40"/>
    <x v="388"/>
    <n v="4.8899999999999997"/>
    <x v="368"/>
    <x v="2"/>
  </r>
  <r>
    <x v="484"/>
    <x v="1"/>
    <x v="4"/>
    <x v="4"/>
    <x v="40"/>
    <x v="389"/>
    <n v="-8.56"/>
    <x v="369"/>
    <x v="2"/>
  </r>
  <r>
    <x v="485"/>
    <x v="1"/>
    <x v="5"/>
    <x v="5"/>
    <x v="40"/>
    <x v="390"/>
    <n v="-0.89"/>
    <x v="370"/>
    <x v="0"/>
  </r>
  <r>
    <x v="486"/>
    <x v="2"/>
    <x v="6"/>
    <x v="6"/>
    <x v="40"/>
    <x v="391"/>
    <n v="-0.15"/>
    <x v="371"/>
    <x v="0"/>
  </r>
  <r>
    <x v="487"/>
    <x v="2"/>
    <x v="7"/>
    <x v="7"/>
    <x v="40"/>
    <x v="392"/>
    <n v="1.25"/>
    <x v="84"/>
    <x v="0"/>
  </r>
  <r>
    <x v="488"/>
    <x v="2"/>
    <x v="8"/>
    <x v="8"/>
    <x v="40"/>
    <x v="393"/>
    <n v="0.28999999999999998"/>
    <x v="372"/>
    <x v="0"/>
  </r>
  <r>
    <x v="489"/>
    <x v="3"/>
    <x v="9"/>
    <x v="9"/>
    <x v="40"/>
    <x v="394"/>
    <n v="5.6"/>
    <x v="340"/>
    <x v="2"/>
  </r>
  <r>
    <x v="490"/>
    <x v="3"/>
    <x v="10"/>
    <x v="10"/>
    <x v="40"/>
    <x v="395"/>
    <n v="2.81"/>
    <x v="373"/>
    <x v="0"/>
  </r>
  <r>
    <x v="491"/>
    <x v="3"/>
    <x v="11"/>
    <x v="11"/>
    <x v="40"/>
    <x v="396"/>
    <n v="5.47"/>
    <x v="144"/>
    <x v="2"/>
  </r>
  <r>
    <x v="492"/>
    <x v="0"/>
    <x v="0"/>
    <x v="0"/>
    <x v="41"/>
    <x v="397"/>
    <n v="2.68"/>
    <x v="374"/>
    <x v="0"/>
  </r>
  <r>
    <x v="493"/>
    <x v="0"/>
    <x v="1"/>
    <x v="1"/>
    <x v="41"/>
    <x v="398"/>
    <n v="5.22"/>
    <x v="375"/>
    <x v="2"/>
  </r>
  <r>
    <x v="494"/>
    <x v="0"/>
    <x v="2"/>
    <x v="2"/>
    <x v="41"/>
    <x v="399"/>
    <n v="10.73"/>
    <x v="376"/>
    <x v="2"/>
  </r>
  <r>
    <x v="495"/>
    <x v="1"/>
    <x v="3"/>
    <x v="3"/>
    <x v="41"/>
    <x v="400"/>
    <n v="7.6"/>
    <x v="377"/>
    <x v="2"/>
  </r>
  <r>
    <x v="496"/>
    <x v="1"/>
    <x v="4"/>
    <x v="4"/>
    <x v="41"/>
    <x v="401"/>
    <n v="-8.17"/>
    <x v="378"/>
    <x v="2"/>
  </r>
  <r>
    <x v="497"/>
    <x v="1"/>
    <x v="5"/>
    <x v="5"/>
    <x v="41"/>
    <x v="402"/>
    <n v="-2.2200000000000002"/>
    <x v="379"/>
    <x v="0"/>
  </r>
  <r>
    <x v="498"/>
    <x v="2"/>
    <x v="6"/>
    <x v="6"/>
    <x v="41"/>
    <x v="403"/>
    <n v="2.0699999999999998"/>
    <x v="380"/>
    <x v="0"/>
  </r>
  <r>
    <x v="499"/>
    <x v="2"/>
    <x v="7"/>
    <x v="7"/>
    <x v="41"/>
    <x v="404"/>
    <n v="-7.43"/>
    <x v="381"/>
    <x v="2"/>
  </r>
  <r>
    <x v="500"/>
    <x v="2"/>
    <x v="8"/>
    <x v="8"/>
    <x v="41"/>
    <x v="405"/>
    <n v="0.33"/>
    <x v="382"/>
    <x v="0"/>
  </r>
  <r>
    <x v="501"/>
    <x v="3"/>
    <x v="9"/>
    <x v="9"/>
    <x v="41"/>
    <x v="406"/>
    <n v="-0.97"/>
    <x v="383"/>
    <x v="0"/>
  </r>
  <r>
    <x v="502"/>
    <x v="3"/>
    <x v="10"/>
    <x v="10"/>
    <x v="41"/>
    <x v="407"/>
    <n v="5.56"/>
    <x v="384"/>
    <x v="2"/>
  </r>
  <r>
    <x v="503"/>
    <x v="3"/>
    <x v="11"/>
    <x v="11"/>
    <x v="41"/>
    <x v="408"/>
    <n v="-1.17"/>
    <x v="385"/>
    <x v="0"/>
  </r>
  <r>
    <x v="504"/>
    <x v="0"/>
    <x v="0"/>
    <x v="0"/>
    <x v="42"/>
    <x v="409"/>
    <n v="2.84"/>
    <x v="386"/>
    <x v="0"/>
  </r>
  <r>
    <x v="505"/>
    <x v="0"/>
    <x v="1"/>
    <x v="1"/>
    <x v="42"/>
    <x v="410"/>
    <n v="5.61"/>
    <x v="387"/>
    <x v="2"/>
  </r>
  <r>
    <x v="506"/>
    <x v="0"/>
    <x v="2"/>
    <x v="2"/>
    <x v="42"/>
    <x v="411"/>
    <n v="5.0999999999999996"/>
    <x v="388"/>
    <x v="0"/>
  </r>
  <r>
    <x v="507"/>
    <x v="1"/>
    <x v="3"/>
    <x v="3"/>
    <x v="42"/>
    <x v="412"/>
    <n v="-4.12"/>
    <x v="389"/>
    <x v="0"/>
  </r>
  <r>
    <x v="508"/>
    <x v="1"/>
    <x v="4"/>
    <x v="4"/>
    <x v="42"/>
    <x v="413"/>
    <n v="-9.58"/>
    <x v="390"/>
    <x v="2"/>
  </r>
  <r>
    <x v="509"/>
    <x v="1"/>
    <x v="5"/>
    <x v="5"/>
    <x v="42"/>
    <x v="414"/>
    <n v="-13.36"/>
    <x v="391"/>
    <x v="2"/>
  </r>
  <r>
    <x v="510"/>
    <x v="2"/>
    <x v="6"/>
    <x v="6"/>
    <x v="42"/>
    <x v="415"/>
    <n v="6.03"/>
    <x v="392"/>
    <x v="2"/>
  </r>
  <r>
    <x v="511"/>
    <x v="2"/>
    <x v="7"/>
    <x v="7"/>
    <x v="42"/>
    <x v="416"/>
    <n v="8.52"/>
    <x v="393"/>
    <x v="2"/>
  </r>
  <r>
    <x v="512"/>
    <x v="2"/>
    <x v="8"/>
    <x v="8"/>
    <x v="42"/>
    <x v="417"/>
    <n v="1.01"/>
    <x v="394"/>
    <x v="0"/>
  </r>
  <r>
    <x v="513"/>
    <x v="3"/>
    <x v="9"/>
    <x v="9"/>
    <x v="42"/>
    <x v="418"/>
    <n v="-2.88"/>
    <x v="395"/>
    <x v="0"/>
  </r>
  <r>
    <x v="514"/>
    <x v="3"/>
    <x v="10"/>
    <x v="10"/>
    <x v="42"/>
    <x v="419"/>
    <n v="-2.23"/>
    <x v="396"/>
    <x v="0"/>
  </r>
  <r>
    <x v="515"/>
    <x v="3"/>
    <x v="11"/>
    <x v="11"/>
    <x v="42"/>
    <x v="420"/>
    <n v="0.02"/>
    <x v="397"/>
    <x v="0"/>
  </r>
  <r>
    <x v="516"/>
    <x v="0"/>
    <x v="0"/>
    <x v="0"/>
    <x v="43"/>
    <x v="421"/>
    <n v="3.91"/>
    <x v="268"/>
    <x v="0"/>
  </r>
  <r>
    <x v="517"/>
    <x v="0"/>
    <x v="1"/>
    <x v="1"/>
    <x v="43"/>
    <x v="422"/>
    <n v="2.54"/>
    <x v="398"/>
    <x v="0"/>
  </r>
  <r>
    <x v="518"/>
    <x v="0"/>
    <x v="2"/>
    <x v="2"/>
    <x v="43"/>
    <x v="423"/>
    <n v="-5.1100000000000003"/>
    <x v="399"/>
    <x v="0"/>
  </r>
  <r>
    <x v="519"/>
    <x v="1"/>
    <x v="3"/>
    <x v="3"/>
    <x v="43"/>
    <x v="424"/>
    <n v="-3.67"/>
    <x v="400"/>
    <x v="0"/>
  </r>
  <r>
    <x v="520"/>
    <x v="1"/>
    <x v="4"/>
    <x v="4"/>
    <x v="43"/>
    <x v="425"/>
    <n v="0.51"/>
    <x v="401"/>
    <x v="0"/>
  </r>
  <r>
    <x v="521"/>
    <x v="1"/>
    <x v="5"/>
    <x v="5"/>
    <x v="43"/>
    <x v="426"/>
    <n v="0.38"/>
    <x v="372"/>
    <x v="0"/>
  </r>
  <r>
    <x v="522"/>
    <x v="2"/>
    <x v="6"/>
    <x v="6"/>
    <x v="43"/>
    <x v="427"/>
    <n v="5.52"/>
    <x v="402"/>
    <x v="2"/>
  </r>
  <r>
    <x v="523"/>
    <x v="2"/>
    <x v="7"/>
    <x v="7"/>
    <x v="43"/>
    <x v="428"/>
    <n v="2.9"/>
    <x v="403"/>
    <x v="0"/>
  </r>
  <r>
    <x v="524"/>
    <x v="2"/>
    <x v="8"/>
    <x v="8"/>
    <x v="43"/>
    <x v="429"/>
    <n v="0.6"/>
    <x v="90"/>
    <x v="0"/>
  </r>
  <r>
    <x v="525"/>
    <x v="3"/>
    <x v="9"/>
    <x v="9"/>
    <x v="43"/>
    <x v="430"/>
    <n v="-3.33"/>
    <x v="366"/>
    <x v="0"/>
  </r>
  <r>
    <x v="526"/>
    <x v="3"/>
    <x v="10"/>
    <x v="10"/>
    <x v="43"/>
    <x v="431"/>
    <n v="-2.8"/>
    <x v="404"/>
    <x v="0"/>
  </r>
  <r>
    <x v="527"/>
    <x v="3"/>
    <x v="11"/>
    <x v="11"/>
    <x v="43"/>
    <x v="432"/>
    <n v="2.86"/>
    <x v="275"/>
    <x v="0"/>
  </r>
  <r>
    <x v="528"/>
    <x v="0"/>
    <x v="0"/>
    <x v="0"/>
    <x v="44"/>
    <x v="433"/>
    <n v="-3.38"/>
    <x v="405"/>
    <x v="0"/>
  </r>
  <r>
    <x v="529"/>
    <x v="0"/>
    <x v="1"/>
    <x v="1"/>
    <x v="44"/>
    <x v="434"/>
    <n v="2.73"/>
    <x v="406"/>
    <x v="0"/>
  </r>
  <r>
    <x v="530"/>
    <x v="0"/>
    <x v="2"/>
    <x v="2"/>
    <x v="44"/>
    <x v="435"/>
    <n v="-0.79"/>
    <x v="407"/>
    <x v="0"/>
  </r>
  <r>
    <x v="531"/>
    <x v="1"/>
    <x v="3"/>
    <x v="3"/>
    <x v="44"/>
    <x v="436"/>
    <n v="0.83"/>
    <x v="408"/>
    <x v="0"/>
  </r>
  <r>
    <x v="532"/>
    <x v="1"/>
    <x v="4"/>
    <x v="4"/>
    <x v="44"/>
    <x v="437"/>
    <n v="0.85"/>
    <x v="409"/>
    <x v="0"/>
  </r>
  <r>
    <x v="533"/>
    <x v="1"/>
    <x v="5"/>
    <x v="5"/>
    <x v="44"/>
    <x v="438"/>
    <n v="2.66"/>
    <x v="326"/>
    <x v="0"/>
  </r>
  <r>
    <x v="534"/>
    <x v="2"/>
    <x v="6"/>
    <x v="6"/>
    <x v="44"/>
    <x v="439"/>
    <n v="-3.15"/>
    <x v="410"/>
    <x v="0"/>
  </r>
  <r>
    <x v="535"/>
    <x v="2"/>
    <x v="7"/>
    <x v="7"/>
    <x v="44"/>
    <x v="440"/>
    <n v="-5.18"/>
    <x v="411"/>
    <x v="0"/>
  </r>
  <r>
    <x v="536"/>
    <x v="2"/>
    <x v="8"/>
    <x v="8"/>
    <x v="44"/>
    <x v="441"/>
    <n v="-4.2"/>
    <x v="412"/>
    <x v="0"/>
  </r>
  <r>
    <x v="537"/>
    <x v="3"/>
    <x v="9"/>
    <x v="9"/>
    <x v="44"/>
    <x v="442"/>
    <n v="-9.77"/>
    <x v="413"/>
    <x v="2"/>
  </r>
  <r>
    <x v="538"/>
    <x v="3"/>
    <x v="10"/>
    <x v="10"/>
    <x v="44"/>
    <x v="443"/>
    <n v="-9.09"/>
    <x v="414"/>
    <x v="2"/>
  </r>
  <r>
    <x v="539"/>
    <x v="3"/>
    <x v="11"/>
    <x v="11"/>
    <x v="44"/>
    <x v="444"/>
    <n v="-16.29"/>
    <x v="415"/>
    <x v="2"/>
  </r>
  <r>
    <x v="540"/>
    <x v="0"/>
    <x v="0"/>
    <x v="0"/>
    <x v="45"/>
    <x v="445"/>
    <n v="-13.6"/>
    <x v="416"/>
    <x v="2"/>
  </r>
  <r>
    <x v="541"/>
    <x v="0"/>
    <x v="1"/>
    <x v="1"/>
    <x v="45"/>
    <x v="446"/>
    <n v="7.68"/>
    <x v="417"/>
    <x v="2"/>
  </r>
  <r>
    <x v="542"/>
    <x v="0"/>
    <x v="2"/>
    <x v="2"/>
    <x v="45"/>
    <x v="447"/>
    <n v="-1.96"/>
    <x v="400"/>
    <x v="0"/>
  </r>
  <r>
    <x v="543"/>
    <x v="1"/>
    <x v="3"/>
    <x v="3"/>
    <x v="45"/>
    <x v="448"/>
    <n v="4.72"/>
    <x v="418"/>
    <x v="2"/>
  </r>
  <r>
    <x v="544"/>
    <x v="1"/>
    <x v="4"/>
    <x v="4"/>
    <x v="45"/>
    <x v="449"/>
    <n v="4.96"/>
    <x v="419"/>
    <x v="2"/>
  </r>
  <r>
    <x v="545"/>
    <x v="1"/>
    <x v="5"/>
    <x v="5"/>
    <x v="45"/>
    <x v="450"/>
    <n v="-1.2"/>
    <x v="420"/>
    <x v="0"/>
  </r>
  <r>
    <x v="546"/>
    <x v="2"/>
    <x v="6"/>
    <x v="6"/>
    <x v="45"/>
    <x v="451"/>
    <n v="-6.97"/>
    <x v="421"/>
    <x v="2"/>
  </r>
  <r>
    <x v="547"/>
    <x v="2"/>
    <x v="7"/>
    <x v="7"/>
    <x v="45"/>
    <x v="452"/>
    <n v="-8.65"/>
    <x v="163"/>
    <x v="2"/>
  </r>
  <r>
    <x v="548"/>
    <x v="2"/>
    <x v="8"/>
    <x v="8"/>
    <x v="45"/>
    <x v="453"/>
    <n v="0.59"/>
    <x v="422"/>
    <x v="0"/>
  </r>
  <r>
    <x v="549"/>
    <x v="3"/>
    <x v="9"/>
    <x v="9"/>
    <x v="45"/>
    <x v="454"/>
    <n v="0.68"/>
    <x v="423"/>
    <x v="0"/>
  </r>
  <r>
    <x v="550"/>
    <x v="3"/>
    <x v="10"/>
    <x v="10"/>
    <x v="45"/>
    <x v="455"/>
    <n v="-3.84"/>
    <x v="424"/>
    <x v="2"/>
  </r>
  <r>
    <x v="551"/>
    <x v="3"/>
    <x v="11"/>
    <x v="11"/>
    <x v="45"/>
    <x v="456"/>
    <n v="-6.54"/>
    <x v="425"/>
    <x v="2"/>
  </r>
  <r>
    <x v="552"/>
    <x v="0"/>
    <x v="0"/>
    <x v="0"/>
    <x v="46"/>
    <x v="457"/>
    <n v="-6.79"/>
    <x v="426"/>
    <x v="2"/>
  </r>
  <r>
    <x v="553"/>
    <x v="0"/>
    <x v="1"/>
    <x v="1"/>
    <x v="46"/>
    <x v="458"/>
    <n v="1.25"/>
    <x v="427"/>
    <x v="0"/>
  </r>
  <r>
    <x v="554"/>
    <x v="0"/>
    <x v="2"/>
    <x v="2"/>
    <x v="46"/>
    <x v="459"/>
    <n v="6.31"/>
    <x v="31"/>
    <x v="2"/>
  </r>
  <r>
    <x v="555"/>
    <x v="1"/>
    <x v="3"/>
    <x v="3"/>
    <x v="46"/>
    <x v="41"/>
    <n v="3.41"/>
    <x v="428"/>
    <x v="2"/>
  </r>
  <r>
    <x v="556"/>
    <x v="1"/>
    <x v="4"/>
    <x v="4"/>
    <x v="46"/>
    <x v="460"/>
    <n v="5.19"/>
    <x v="429"/>
    <x v="2"/>
  </r>
  <r>
    <x v="557"/>
    <x v="1"/>
    <x v="5"/>
    <x v="5"/>
    <x v="46"/>
    <x v="461"/>
    <n v="1.75"/>
    <x v="430"/>
    <x v="0"/>
  </r>
  <r>
    <x v="558"/>
    <x v="2"/>
    <x v="6"/>
    <x v="6"/>
    <x v="46"/>
    <x v="462"/>
    <n v="-3.56"/>
    <x v="232"/>
    <x v="2"/>
  </r>
  <r>
    <x v="559"/>
    <x v="2"/>
    <x v="7"/>
    <x v="7"/>
    <x v="46"/>
    <x v="463"/>
    <n v="0.75"/>
    <x v="431"/>
    <x v="0"/>
  </r>
  <r>
    <x v="560"/>
    <x v="2"/>
    <x v="8"/>
    <x v="8"/>
    <x v="46"/>
    <x v="464"/>
    <n v="0.17"/>
    <x v="304"/>
    <x v="0"/>
  </r>
  <r>
    <x v="561"/>
    <x v="3"/>
    <x v="9"/>
    <x v="9"/>
    <x v="46"/>
    <x v="465"/>
    <n v="4.25"/>
    <x v="432"/>
    <x v="2"/>
  </r>
  <r>
    <x v="562"/>
    <x v="3"/>
    <x v="10"/>
    <x v="10"/>
    <x v="46"/>
    <x v="466"/>
    <n v="-4.03"/>
    <x v="424"/>
    <x v="2"/>
  </r>
  <r>
    <x v="563"/>
    <x v="3"/>
    <x v="11"/>
    <x v="11"/>
    <x v="46"/>
    <x v="467"/>
    <n v="7.36"/>
    <x v="433"/>
    <x v="2"/>
  </r>
  <r>
    <x v="564"/>
    <x v="0"/>
    <x v="0"/>
    <x v="0"/>
    <x v="47"/>
    <x v="468"/>
    <n v="0.97"/>
    <x v="63"/>
    <x v="0"/>
  </r>
  <r>
    <x v="565"/>
    <x v="0"/>
    <x v="1"/>
    <x v="1"/>
    <x v="47"/>
    <x v="469"/>
    <n v="0.76"/>
    <x v="62"/>
    <x v="0"/>
  </r>
  <r>
    <x v="566"/>
    <x v="0"/>
    <x v="2"/>
    <x v="2"/>
    <x v="47"/>
    <x v="470"/>
    <n v="-3.45"/>
    <x v="434"/>
    <x v="2"/>
  </r>
  <r>
    <x v="567"/>
    <x v="1"/>
    <x v="3"/>
    <x v="3"/>
    <x v="47"/>
    <x v="471"/>
    <n v="1.26"/>
    <x v="435"/>
    <x v="0"/>
  </r>
  <r>
    <x v="568"/>
    <x v="1"/>
    <x v="4"/>
    <x v="4"/>
    <x v="47"/>
    <x v="472"/>
    <n v="-2.27"/>
    <x v="436"/>
    <x v="0"/>
  </r>
  <r>
    <x v="569"/>
    <x v="1"/>
    <x v="5"/>
    <x v="5"/>
    <x v="47"/>
    <x v="473"/>
    <n v="-3.73"/>
    <x v="232"/>
    <x v="2"/>
  </r>
  <r>
    <x v="570"/>
    <x v="2"/>
    <x v="6"/>
    <x v="6"/>
    <x v="47"/>
    <x v="474"/>
    <n v="1.49"/>
    <x v="437"/>
    <x v="0"/>
  </r>
  <r>
    <x v="571"/>
    <x v="2"/>
    <x v="7"/>
    <x v="7"/>
    <x v="47"/>
    <x v="475"/>
    <n v="2.29"/>
    <x v="438"/>
    <x v="0"/>
  </r>
  <r>
    <x v="572"/>
    <x v="2"/>
    <x v="8"/>
    <x v="8"/>
    <x v="47"/>
    <x v="476"/>
    <n v="3.01"/>
    <x v="206"/>
    <x v="2"/>
  </r>
  <r>
    <x v="573"/>
    <x v="3"/>
    <x v="9"/>
    <x v="9"/>
    <x v="47"/>
    <x v="477"/>
    <n v="1.97"/>
    <x v="439"/>
    <x v="0"/>
  </r>
  <r>
    <x v="574"/>
    <x v="3"/>
    <x v="10"/>
    <x v="10"/>
    <x v="47"/>
    <x v="478"/>
    <n v="5.01"/>
    <x v="428"/>
    <x v="2"/>
  </r>
  <r>
    <x v="575"/>
    <x v="3"/>
    <x v="11"/>
    <x v="11"/>
    <x v="47"/>
    <x v="479"/>
    <n v="1.25"/>
    <x v="440"/>
    <x v="0"/>
  </r>
  <r>
    <x v="576"/>
    <x v="0"/>
    <x v="0"/>
    <x v="0"/>
    <x v="48"/>
    <x v="480"/>
    <n v="5.04"/>
    <x v="441"/>
    <x v="2"/>
  </r>
  <r>
    <x v="577"/>
    <x v="0"/>
    <x v="1"/>
    <x v="1"/>
    <x v="48"/>
    <x v="481"/>
    <n v="-2.77"/>
    <x v="442"/>
    <x v="0"/>
  </r>
  <r>
    <x v="578"/>
    <x v="0"/>
    <x v="2"/>
    <x v="2"/>
    <x v="48"/>
    <x v="482"/>
    <n v="0.71"/>
    <x v="443"/>
    <x v="0"/>
  </r>
  <r>
    <x v="579"/>
    <x v="1"/>
    <x v="3"/>
    <x v="3"/>
    <x v="48"/>
    <x v="483"/>
    <n v="4.63"/>
    <x v="444"/>
    <x v="2"/>
  </r>
  <r>
    <x v="580"/>
    <x v="1"/>
    <x v="4"/>
    <x v="4"/>
    <x v="48"/>
    <x v="484"/>
    <n v="4.6399999999999997"/>
    <x v="445"/>
    <x v="2"/>
  </r>
  <r>
    <x v="581"/>
    <x v="1"/>
    <x v="5"/>
    <x v="5"/>
    <x v="48"/>
    <x v="485"/>
    <n v="-1.45"/>
    <x v="446"/>
    <x v="0"/>
  </r>
  <r>
    <x v="582"/>
    <x v="2"/>
    <x v="6"/>
    <x v="6"/>
    <x v="48"/>
    <x v="486"/>
    <n v="0.69"/>
    <x v="394"/>
    <x v="0"/>
  </r>
  <r>
    <x v="583"/>
    <x v="2"/>
    <x v="7"/>
    <x v="7"/>
    <x v="48"/>
    <x v="487"/>
    <n v="-1.58"/>
    <x v="447"/>
    <x v="0"/>
  </r>
  <r>
    <x v="584"/>
    <x v="2"/>
    <x v="8"/>
    <x v="8"/>
    <x v="48"/>
    <x v="488"/>
    <n v="4.28"/>
    <x v="206"/>
    <x v="2"/>
  </r>
  <r>
    <x v="585"/>
    <x v="3"/>
    <x v="9"/>
    <x v="9"/>
    <x v="48"/>
    <x v="489"/>
    <n v="1.36"/>
    <x v="448"/>
    <x v="0"/>
  </r>
  <r>
    <x v="586"/>
    <x v="3"/>
    <x v="10"/>
    <x v="10"/>
    <x v="48"/>
    <x v="490"/>
    <n v="-14.41"/>
    <x v="449"/>
    <x v="2"/>
  </r>
  <r>
    <x v="587"/>
    <x v="3"/>
    <x v="11"/>
    <x v="11"/>
    <x v="48"/>
    <x v="491"/>
    <n v="-8.36"/>
    <x v="450"/>
    <x v="2"/>
  </r>
  <r>
    <x v="588"/>
    <x v="0"/>
    <x v="0"/>
    <x v="0"/>
    <x v="49"/>
    <x v="492"/>
    <n v="2.62"/>
    <x v="451"/>
    <x v="0"/>
  </r>
  <r>
    <x v="589"/>
    <x v="0"/>
    <x v="1"/>
    <x v="1"/>
    <x v="49"/>
    <x v="493"/>
    <n v="4.55"/>
    <x v="452"/>
    <x v="2"/>
  </r>
  <r>
    <x v="590"/>
    <x v="0"/>
    <x v="2"/>
    <x v="2"/>
    <x v="49"/>
    <x v="494"/>
    <n v="2.65"/>
    <x v="453"/>
    <x v="0"/>
  </r>
  <r>
    <x v="591"/>
    <x v="1"/>
    <x v="3"/>
    <x v="3"/>
    <x v="49"/>
    <x v="495"/>
    <n v="4.79"/>
    <x v="454"/>
    <x v="2"/>
  </r>
  <r>
    <x v="592"/>
    <x v="1"/>
    <x v="4"/>
    <x v="4"/>
    <x v="49"/>
    <x v="496"/>
    <n v="-1.74"/>
    <x v="455"/>
    <x v="0"/>
  </r>
  <r>
    <x v="593"/>
    <x v="1"/>
    <x v="5"/>
    <x v="5"/>
    <x v="49"/>
    <x v="497"/>
    <n v="-7.07"/>
    <x v="456"/>
    <x v="2"/>
  </r>
  <r>
    <x v="594"/>
    <x v="2"/>
    <x v="6"/>
    <x v="6"/>
    <x v="49"/>
    <x v="498"/>
    <n v="1.72"/>
    <x v="139"/>
    <x v="0"/>
  </r>
  <r>
    <x v="595"/>
    <x v="2"/>
    <x v="7"/>
    <x v="7"/>
    <x v="49"/>
    <x v="499"/>
    <n v="-3.81"/>
    <x v="457"/>
    <x v="2"/>
  </r>
  <r>
    <x v="596"/>
    <x v="2"/>
    <x v="8"/>
    <x v="8"/>
    <x v="49"/>
    <x v="500"/>
    <n v="2.37"/>
    <x v="458"/>
    <x v="0"/>
  </r>
  <r>
    <x v="597"/>
    <x v="3"/>
    <x v="9"/>
    <x v="9"/>
    <x v="49"/>
    <x v="501"/>
    <n v="-2.77"/>
    <x v="289"/>
    <x v="0"/>
  </r>
  <r>
    <x v="598"/>
    <x v="3"/>
    <x v="10"/>
    <x v="10"/>
    <x v="49"/>
    <x v="502"/>
    <n v="3.13"/>
    <x v="459"/>
    <x v="2"/>
  </r>
  <r>
    <x v="599"/>
    <x v="3"/>
    <x v="11"/>
    <x v="11"/>
    <x v="49"/>
    <x v="503"/>
    <n v="2.95"/>
    <x v="460"/>
    <x v="0"/>
  </r>
  <r>
    <x v="600"/>
    <x v="0"/>
    <x v="0"/>
    <x v="0"/>
    <x v="50"/>
    <x v="504"/>
    <n v="-1.73"/>
    <x v="182"/>
    <x v="0"/>
  </r>
  <r>
    <x v="601"/>
    <x v="0"/>
    <x v="1"/>
    <x v="1"/>
    <x v="50"/>
    <x v="505"/>
    <n v="-8.2799999999999994"/>
    <x v="461"/>
    <x v="2"/>
  </r>
  <r>
    <x v="602"/>
    <x v="0"/>
    <x v="2"/>
    <x v="2"/>
    <x v="50"/>
    <x v="506"/>
    <n v="-21.14"/>
    <x v="462"/>
    <x v="1"/>
  </r>
  <r>
    <x v="603"/>
    <x v="1"/>
    <x v="3"/>
    <x v="3"/>
    <x v="50"/>
    <x v="507"/>
    <n v="-11.16"/>
    <x v="463"/>
    <x v="1"/>
  </r>
  <r>
    <x v="604"/>
    <x v="1"/>
    <x v="4"/>
    <x v="4"/>
    <x v="50"/>
    <x v="508"/>
    <n v="9.34"/>
    <x v="464"/>
    <x v="1"/>
  </r>
  <r>
    <x v="605"/>
    <x v="1"/>
    <x v="5"/>
    <x v="5"/>
    <x v="50"/>
    <x v="509"/>
    <n v="9.08"/>
    <x v="465"/>
    <x v="1"/>
  </r>
  <r>
    <x v="606"/>
    <x v="2"/>
    <x v="6"/>
    <x v="6"/>
    <x v="50"/>
    <x v="510"/>
    <n v="2.61"/>
    <x v="310"/>
    <x v="2"/>
  </r>
  <r>
    <x v="607"/>
    <x v="2"/>
    <x v="7"/>
    <x v="7"/>
    <x v="50"/>
    <x v="511"/>
    <n v="1.38"/>
    <x v="466"/>
    <x v="0"/>
  </r>
  <r>
    <x v="608"/>
    <x v="2"/>
    <x v="8"/>
    <x v="8"/>
    <x v="50"/>
    <x v="512"/>
    <n v="-2.85"/>
    <x v="467"/>
    <x v="2"/>
  </r>
  <r>
    <x v="609"/>
    <x v="3"/>
    <x v="9"/>
    <x v="9"/>
    <x v="50"/>
    <x v="513"/>
    <n v="-0.7"/>
    <x v="468"/>
    <x v="0"/>
  </r>
  <r>
    <x v="610"/>
    <x v="3"/>
    <x v="10"/>
    <x v="10"/>
    <x v="50"/>
    <x v="514"/>
    <n v="2.4"/>
    <x v="206"/>
    <x v="2"/>
  </r>
  <r>
    <x v="611"/>
    <x v="3"/>
    <x v="11"/>
    <x v="11"/>
    <x v="50"/>
    <x v="515"/>
    <n v="6.42"/>
    <x v="469"/>
    <x v="2"/>
  </r>
  <r>
    <x v="612"/>
    <x v="0"/>
    <x v="0"/>
    <x v="0"/>
    <x v="51"/>
    <x v="516"/>
    <n v="4.88"/>
    <x v="470"/>
    <x v="2"/>
  </r>
  <r>
    <x v="613"/>
    <x v="0"/>
    <x v="1"/>
    <x v="1"/>
    <x v="51"/>
    <x v="517"/>
    <n v="6.86"/>
    <x v="471"/>
    <x v="2"/>
  </r>
  <r>
    <x v="614"/>
    <x v="0"/>
    <x v="2"/>
    <x v="2"/>
    <x v="51"/>
    <x v="518"/>
    <n v="3.37"/>
    <x v="384"/>
    <x v="2"/>
  </r>
  <r>
    <x v="615"/>
    <x v="1"/>
    <x v="3"/>
    <x v="3"/>
    <x v="51"/>
    <x v="519"/>
    <n v="-0.88"/>
    <x v="472"/>
    <x v="0"/>
  </r>
  <r>
    <x v="616"/>
    <x v="1"/>
    <x v="4"/>
    <x v="4"/>
    <x v="51"/>
    <x v="520"/>
    <n v="3.45"/>
    <x v="473"/>
    <x v="2"/>
  </r>
  <r>
    <x v="617"/>
    <x v="1"/>
    <x v="5"/>
    <x v="5"/>
    <x v="51"/>
    <x v="521"/>
    <n v="5.4"/>
    <x v="474"/>
    <x v="2"/>
  </r>
  <r>
    <x v="618"/>
    <x v="2"/>
    <x v="6"/>
    <x v="6"/>
    <x v="51"/>
    <x v="522"/>
    <n v="1.48"/>
    <x v="475"/>
    <x v="0"/>
  </r>
  <r>
    <x v="619"/>
    <x v="2"/>
    <x v="7"/>
    <x v="7"/>
    <x v="51"/>
    <x v="523"/>
    <n v="-4.42"/>
    <x v="251"/>
    <x v="2"/>
  </r>
  <r>
    <x v="620"/>
    <x v="2"/>
    <x v="8"/>
    <x v="8"/>
    <x v="51"/>
    <x v="524"/>
    <n v="3.93"/>
    <x v="476"/>
    <x v="2"/>
  </r>
  <r>
    <x v="621"/>
    <x v="3"/>
    <x v="9"/>
    <x v="9"/>
    <x v="51"/>
    <x v="525"/>
    <n v="9.26"/>
    <x v="477"/>
    <x v="2"/>
  </r>
  <r>
    <x v="622"/>
    <x v="3"/>
    <x v="10"/>
    <x v="10"/>
    <x v="51"/>
    <x v="526"/>
    <n v="-2.15"/>
    <x v="478"/>
    <x v="0"/>
  </r>
  <r>
    <x v="623"/>
    <x v="3"/>
    <x v="11"/>
    <x v="11"/>
    <x v="51"/>
    <x v="527"/>
    <n v="-7.05"/>
    <x v="479"/>
    <x v="2"/>
  </r>
  <r>
    <x v="624"/>
    <x v="0"/>
    <x v="0"/>
    <x v="0"/>
    <x v="52"/>
    <x v="528"/>
    <n v="11.05"/>
    <x v="480"/>
    <x v="2"/>
  </r>
  <r>
    <x v="625"/>
    <x v="0"/>
    <x v="1"/>
    <x v="1"/>
    <x v="52"/>
    <x v="529"/>
    <n v="9.6199999999999992"/>
    <x v="481"/>
    <x v="2"/>
  </r>
  <r>
    <x v="626"/>
    <x v="0"/>
    <x v="2"/>
    <x v="2"/>
    <x v="52"/>
    <x v="530"/>
    <n v="18.850000000000001"/>
    <x v="482"/>
    <x v="2"/>
  </r>
  <r>
    <x v="627"/>
    <x v="1"/>
    <x v="3"/>
    <x v="3"/>
    <x v="52"/>
    <x v="531"/>
    <n v="-8.98"/>
    <x v="483"/>
    <x v="2"/>
  </r>
  <r>
    <x v="628"/>
    <x v="1"/>
    <x v="4"/>
    <x v="4"/>
    <x v="52"/>
    <x v="532"/>
    <n v="6.68"/>
    <x v="484"/>
    <x v="2"/>
  </r>
  <r>
    <x v="629"/>
    <x v="1"/>
    <x v="5"/>
    <x v="5"/>
    <x v="52"/>
    <x v="533"/>
    <n v="6.7"/>
    <x v="332"/>
    <x v="2"/>
  </r>
  <r>
    <x v="630"/>
    <x v="2"/>
    <x v="6"/>
    <x v="6"/>
    <x v="52"/>
    <x v="534"/>
    <n v="-11.72"/>
    <x v="485"/>
    <x v="2"/>
  </r>
  <r>
    <x v="631"/>
    <x v="2"/>
    <x v="7"/>
    <x v="7"/>
    <x v="52"/>
    <x v="535"/>
    <n v="-9.11"/>
    <x v="486"/>
    <x v="2"/>
  </r>
  <r>
    <x v="632"/>
    <x v="2"/>
    <x v="8"/>
    <x v="8"/>
    <x v="52"/>
    <x v="536"/>
    <n v="-7.75"/>
    <x v="487"/>
    <x v="2"/>
  </r>
  <r>
    <x v="633"/>
    <x v="3"/>
    <x v="9"/>
    <x v="9"/>
    <x v="52"/>
    <x v="537"/>
    <n v="2.11"/>
    <x v="488"/>
    <x v="0"/>
  </r>
  <r>
    <x v="634"/>
    <x v="3"/>
    <x v="10"/>
    <x v="10"/>
    <x v="52"/>
    <x v="538"/>
    <n v="-2.95"/>
    <x v="58"/>
    <x v="0"/>
  </r>
  <r>
    <x v="635"/>
    <x v="3"/>
    <x v="11"/>
    <x v="11"/>
    <x v="52"/>
    <x v="539"/>
    <n v="-9.31"/>
    <x v="489"/>
    <x v="2"/>
  </r>
  <r>
    <x v="636"/>
    <x v="0"/>
    <x v="0"/>
    <x v="0"/>
    <x v="53"/>
    <x v="540"/>
    <n v="2.34"/>
    <x v="12"/>
    <x v="0"/>
  </r>
  <r>
    <x v="637"/>
    <x v="0"/>
    <x v="1"/>
    <x v="1"/>
    <x v="53"/>
    <x v="541"/>
    <n v="-0.16"/>
    <x v="371"/>
    <x v="0"/>
  </r>
  <r>
    <x v="638"/>
    <x v="0"/>
    <x v="2"/>
    <x v="2"/>
    <x v="53"/>
    <x v="542"/>
    <n v="-3.78"/>
    <x v="56"/>
    <x v="0"/>
  </r>
  <r>
    <x v="639"/>
    <x v="1"/>
    <x v="3"/>
    <x v="3"/>
    <x v="53"/>
    <x v="543"/>
    <n v="5.99"/>
    <x v="490"/>
    <x v="2"/>
  </r>
  <r>
    <x v="640"/>
    <x v="1"/>
    <x v="4"/>
    <x v="4"/>
    <x v="53"/>
    <x v="544"/>
    <n v="-8.34"/>
    <x v="491"/>
    <x v="2"/>
  </r>
  <r>
    <x v="641"/>
    <x v="1"/>
    <x v="5"/>
    <x v="5"/>
    <x v="53"/>
    <x v="545"/>
    <n v="-0.86"/>
    <x v="312"/>
    <x v="0"/>
  </r>
  <r>
    <x v="642"/>
    <x v="2"/>
    <x v="6"/>
    <x v="6"/>
    <x v="53"/>
    <x v="546"/>
    <n v="5.72"/>
    <x v="492"/>
    <x v="2"/>
  </r>
  <r>
    <x v="643"/>
    <x v="2"/>
    <x v="7"/>
    <x v="7"/>
    <x v="53"/>
    <x v="547"/>
    <n v="5.74"/>
    <x v="493"/>
    <x v="2"/>
  </r>
  <r>
    <x v="644"/>
    <x v="2"/>
    <x v="8"/>
    <x v="8"/>
    <x v="53"/>
    <x v="548"/>
    <n v="7.5"/>
    <x v="494"/>
    <x v="2"/>
  </r>
  <r>
    <x v="645"/>
    <x v="3"/>
    <x v="9"/>
    <x v="9"/>
    <x v="53"/>
    <x v="549"/>
    <n v="-3.14"/>
    <x v="495"/>
    <x v="0"/>
  </r>
  <r>
    <x v="646"/>
    <x v="3"/>
    <x v="10"/>
    <x v="10"/>
    <x v="53"/>
    <x v="550"/>
    <n v="-7.73"/>
    <x v="496"/>
    <x v="2"/>
  </r>
  <r>
    <x v="647"/>
    <x v="3"/>
    <x v="11"/>
    <x v="11"/>
    <x v="53"/>
    <x v="551"/>
    <n v="-5.64"/>
    <x v="241"/>
    <x v="2"/>
  </r>
  <r>
    <x v="648"/>
    <x v="0"/>
    <x v="0"/>
    <x v="0"/>
    <x v="54"/>
    <x v="552"/>
    <n v="1.95"/>
    <x v="497"/>
    <x v="0"/>
  </r>
  <r>
    <x v="649"/>
    <x v="0"/>
    <x v="1"/>
    <x v="1"/>
    <x v="54"/>
    <x v="553"/>
    <n v="2.88"/>
    <x v="498"/>
    <x v="0"/>
  </r>
  <r>
    <x v="650"/>
    <x v="0"/>
    <x v="2"/>
    <x v="2"/>
    <x v="54"/>
    <x v="554"/>
    <n v="3"/>
    <x v="439"/>
    <x v="0"/>
  </r>
  <r>
    <x v="651"/>
    <x v="1"/>
    <x v="3"/>
    <x v="3"/>
    <x v="54"/>
    <x v="555"/>
    <n v="4.47"/>
    <x v="151"/>
    <x v="2"/>
  </r>
  <r>
    <x v="652"/>
    <x v="1"/>
    <x v="4"/>
    <x v="4"/>
    <x v="54"/>
    <x v="556"/>
    <n v="-6.57"/>
    <x v="499"/>
    <x v="2"/>
  </r>
  <r>
    <x v="653"/>
    <x v="1"/>
    <x v="5"/>
    <x v="5"/>
    <x v="54"/>
    <x v="557"/>
    <n v="-0.24"/>
    <x v="500"/>
    <x v="0"/>
  </r>
  <r>
    <x v="654"/>
    <x v="2"/>
    <x v="6"/>
    <x v="6"/>
    <x v="54"/>
    <x v="558"/>
    <n v="2.0499999999999998"/>
    <x v="501"/>
    <x v="0"/>
  </r>
  <r>
    <x v="655"/>
    <x v="2"/>
    <x v="7"/>
    <x v="7"/>
    <x v="54"/>
    <x v="559"/>
    <n v="-5.14"/>
    <x v="502"/>
    <x v="2"/>
  </r>
  <r>
    <x v="656"/>
    <x v="2"/>
    <x v="8"/>
    <x v="8"/>
    <x v="54"/>
    <x v="560"/>
    <n v="-5.7"/>
    <x v="503"/>
    <x v="2"/>
  </r>
  <r>
    <x v="657"/>
    <x v="3"/>
    <x v="9"/>
    <x v="9"/>
    <x v="54"/>
    <x v="561"/>
    <n v="1.55"/>
    <x v="504"/>
    <x v="0"/>
  </r>
  <r>
    <x v="658"/>
    <x v="3"/>
    <x v="10"/>
    <x v="10"/>
    <x v="54"/>
    <x v="562"/>
    <n v="-1.68"/>
    <x v="505"/>
    <x v="0"/>
  </r>
  <r>
    <x v="659"/>
    <x v="3"/>
    <x v="11"/>
    <x v="11"/>
    <x v="54"/>
    <x v="563"/>
    <n v="0.02"/>
    <x v="506"/>
    <x v="0"/>
  </r>
  <r>
    <x v="660"/>
    <x v="0"/>
    <x v="0"/>
    <x v="0"/>
    <x v="55"/>
    <x v="564"/>
    <n v="-4.66"/>
    <x v="507"/>
    <x v="2"/>
  </r>
  <r>
    <x v="661"/>
    <x v="0"/>
    <x v="1"/>
    <x v="1"/>
    <x v="55"/>
    <x v="565"/>
    <n v="-1.64"/>
    <x v="508"/>
    <x v="0"/>
  </r>
  <r>
    <x v="662"/>
    <x v="0"/>
    <x v="2"/>
    <x v="2"/>
    <x v="55"/>
    <x v="566"/>
    <n v="2.19"/>
    <x v="509"/>
    <x v="0"/>
  </r>
  <r>
    <x v="663"/>
    <x v="1"/>
    <x v="3"/>
    <x v="3"/>
    <x v="55"/>
    <x v="567"/>
    <n v="-5.23"/>
    <x v="510"/>
    <x v="2"/>
  </r>
  <r>
    <x v="664"/>
    <x v="1"/>
    <x v="4"/>
    <x v="4"/>
    <x v="55"/>
    <x v="568"/>
    <n v="-2.12"/>
    <x v="511"/>
    <x v="0"/>
  </r>
  <r>
    <x v="665"/>
    <x v="1"/>
    <x v="5"/>
    <x v="5"/>
    <x v="55"/>
    <x v="569"/>
    <n v="7.01"/>
    <x v="512"/>
    <x v="2"/>
  </r>
  <r>
    <x v="666"/>
    <x v="2"/>
    <x v="6"/>
    <x v="6"/>
    <x v="55"/>
    <x v="570"/>
    <n v="-0.89"/>
    <x v="513"/>
    <x v="0"/>
  </r>
  <r>
    <x v="667"/>
    <x v="2"/>
    <x v="7"/>
    <x v="7"/>
    <x v="55"/>
    <x v="571"/>
    <n v="-2.76"/>
    <x v="514"/>
    <x v="0"/>
  </r>
  <r>
    <x v="668"/>
    <x v="2"/>
    <x v="8"/>
    <x v="8"/>
    <x v="55"/>
    <x v="572"/>
    <n v="-0.7"/>
    <x v="515"/>
    <x v="0"/>
  </r>
  <r>
    <x v="669"/>
    <x v="3"/>
    <x v="9"/>
    <x v="9"/>
    <x v="55"/>
    <x v="573"/>
    <n v="-3.46"/>
    <x v="135"/>
    <x v="2"/>
  </r>
  <r>
    <x v="670"/>
    <x v="3"/>
    <x v="10"/>
    <x v="10"/>
    <x v="55"/>
    <x v="574"/>
    <n v="-0.59"/>
    <x v="516"/>
    <x v="0"/>
  </r>
  <r>
    <x v="671"/>
    <x v="3"/>
    <x v="11"/>
    <x v="11"/>
    <x v="55"/>
    <x v="575"/>
    <n v="-1.51"/>
    <x v="455"/>
    <x v="0"/>
  </r>
  <r>
    <x v="672"/>
    <x v="0"/>
    <x v="0"/>
    <x v="0"/>
    <x v="56"/>
    <x v="500"/>
    <n v="2.09"/>
    <x v="517"/>
    <x v="0"/>
  </r>
  <r>
    <x v="673"/>
    <x v="0"/>
    <x v="1"/>
    <x v="1"/>
    <x v="56"/>
    <x v="576"/>
    <n v="4.43"/>
    <x v="518"/>
    <x v="2"/>
  </r>
  <r>
    <x v="674"/>
    <x v="0"/>
    <x v="2"/>
    <x v="2"/>
    <x v="56"/>
    <x v="577"/>
    <n v="23.37"/>
    <x v="5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55E9DF-214A-4DF2-9920-0D39860FA6D9}" name="PivotTable2"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Quarters">
  <location ref="D10:E1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g_%_change" fld="1" subtotal="average" baseField="0" baseItem="0" numFmtId="2"/>
  </dataFields>
  <formats count="12">
    <format dxfId="908">
      <pivotArea type="all" dataOnly="0" outline="0" fieldPosition="0"/>
    </format>
    <format dxfId="907">
      <pivotArea outline="0" collapsedLevelsAreSubtotals="1" fieldPosition="0"/>
    </format>
    <format dxfId="906">
      <pivotArea field="0" type="button" dataOnly="0" labelOnly="1" outline="0" axis="axisRow" fieldPosition="0"/>
    </format>
    <format dxfId="905">
      <pivotArea dataOnly="0" labelOnly="1" fieldPosition="0">
        <references count="1">
          <reference field="0" count="0"/>
        </references>
      </pivotArea>
    </format>
    <format dxfId="904">
      <pivotArea dataOnly="0" labelOnly="1" grandRow="1" outline="0" fieldPosition="0"/>
    </format>
    <format dxfId="903">
      <pivotArea dataOnly="0" labelOnly="1" outline="0" axis="axisValues" fieldPosition="0"/>
    </format>
    <format dxfId="902">
      <pivotArea type="all" dataOnly="0" outline="0" fieldPosition="0"/>
    </format>
    <format dxfId="901">
      <pivotArea outline="0" collapsedLevelsAreSubtotals="1" fieldPosition="0"/>
    </format>
    <format dxfId="900">
      <pivotArea field="0" type="button" dataOnly="0" labelOnly="1" outline="0" axis="axisRow" fieldPosition="0"/>
    </format>
    <format dxfId="899">
      <pivotArea dataOnly="0" labelOnly="1" fieldPosition="0">
        <references count="1">
          <reference field="0" count="0"/>
        </references>
      </pivotArea>
    </format>
    <format dxfId="898">
      <pivotArea dataOnly="0" labelOnly="1" grandRow="1" outline="0" fieldPosition="0"/>
    </format>
    <format dxfId="897">
      <pivotArea dataOnly="0" labelOnly="1" outline="0" axis="axisValues"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1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g_%_change"/>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uel_Prices_Analysis.xlsx!Fuel_prices">
        <x15:activeTabTopLevelEntity name="[Fuel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Month_Trend"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onth">
  <location ref="D2:E7" firstHeaderRow="1" firstDataRow="1" firstDataCol="1"/>
  <pivotFields count="9">
    <pivotField numFmtId="14" showAll="0"/>
    <pivotField showAll="0"/>
    <pivotField dataField="1"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umFmtId="2" showAll="0">
      <items count="579">
        <item x="0"/>
        <item x="1"/>
        <item x="2"/>
        <item x="3"/>
        <item x="4"/>
        <item x="5"/>
        <item x="6"/>
        <item x="7"/>
        <item x="8"/>
        <item x="117"/>
        <item x="11"/>
        <item x="12"/>
        <item x="252"/>
        <item x="13"/>
        <item x="14"/>
        <item x="15"/>
        <item x="10"/>
        <item x="254"/>
        <item x="253"/>
        <item x="16"/>
        <item x="17"/>
        <item x="116"/>
        <item x="251"/>
        <item x="18"/>
        <item x="114"/>
        <item x="142"/>
        <item x="20"/>
        <item x="246"/>
        <item x="248"/>
        <item x="19"/>
        <item x="143"/>
        <item x="21"/>
        <item x="113"/>
        <item x="23"/>
        <item x="22"/>
        <item x="247"/>
        <item x="24"/>
        <item x="25"/>
        <item x="26"/>
        <item x="27"/>
        <item x="28"/>
        <item x="29"/>
        <item x="9"/>
        <item x="141"/>
        <item x="243"/>
        <item x="255"/>
        <item x="30"/>
        <item x="250"/>
        <item x="244"/>
        <item x="198"/>
        <item x="118"/>
        <item x="115"/>
        <item x="195"/>
        <item x="197"/>
        <item x="249"/>
        <item x="120"/>
        <item x="245"/>
        <item x="119"/>
        <item x="242"/>
        <item x="196"/>
        <item x="121"/>
        <item x="139"/>
        <item x="31"/>
        <item x="140"/>
        <item x="144"/>
        <item x="136"/>
        <item x="241"/>
        <item x="199"/>
        <item x="194"/>
        <item x="161"/>
        <item x="138"/>
        <item x="122"/>
        <item x="135"/>
        <item x="256"/>
        <item x="192"/>
        <item x="112"/>
        <item x="205"/>
        <item x="257"/>
        <item x="212"/>
        <item x="214"/>
        <item x="203"/>
        <item x="137"/>
        <item x="200"/>
        <item x="191"/>
        <item x="146"/>
        <item x="258"/>
        <item x="134"/>
        <item x="145"/>
        <item x="193"/>
        <item x="159"/>
        <item x="160"/>
        <item x="133"/>
        <item x="215"/>
        <item x="213"/>
        <item x="152"/>
        <item x="206"/>
        <item x="202"/>
        <item x="204"/>
        <item x="240"/>
        <item x="162"/>
        <item x="187"/>
        <item x="124"/>
        <item x="208"/>
        <item x="211"/>
        <item x="177"/>
        <item x="207"/>
        <item x="179"/>
        <item x="32"/>
        <item x="190"/>
        <item x="178"/>
        <item x="150"/>
        <item x="151"/>
        <item x="218"/>
        <item x="125"/>
        <item x="217"/>
        <item x="216"/>
        <item x="232"/>
        <item x="201"/>
        <item x="126"/>
        <item x="234"/>
        <item x="171"/>
        <item x="149"/>
        <item x="147"/>
        <item x="123"/>
        <item x="169"/>
        <item x="188"/>
        <item x="158"/>
        <item x="131"/>
        <item x="235"/>
        <item x="154"/>
        <item x="127"/>
        <item x="153"/>
        <item x="210"/>
        <item x="189"/>
        <item x="170"/>
        <item x="222"/>
        <item x="288"/>
        <item x="132"/>
        <item x="180"/>
        <item x="209"/>
        <item x="237"/>
        <item x="287"/>
        <item x="236"/>
        <item x="128"/>
        <item x="130"/>
        <item x="186"/>
        <item x="259"/>
        <item x="172"/>
        <item x="221"/>
        <item x="239"/>
        <item x="289"/>
        <item x="148"/>
        <item x="231"/>
        <item x="155"/>
        <item x="173"/>
        <item x="233"/>
        <item x="219"/>
        <item x="181"/>
        <item x="223"/>
        <item x="157"/>
        <item x="129"/>
        <item x="290"/>
        <item x="238"/>
        <item x="174"/>
        <item x="185"/>
        <item x="184"/>
        <item x="183"/>
        <item x="260"/>
        <item x="156"/>
        <item x="230"/>
        <item x="224"/>
        <item x="220"/>
        <item x="286"/>
        <item x="33"/>
        <item x="176"/>
        <item x="182"/>
        <item x="507"/>
        <item x="175"/>
        <item x="262"/>
        <item x="34"/>
        <item x="225"/>
        <item x="227"/>
        <item x="35"/>
        <item x="168"/>
        <item x="261"/>
        <item x="229"/>
        <item x="268"/>
        <item x="226"/>
        <item x="228"/>
        <item x="291"/>
        <item x="263"/>
        <item x="294"/>
        <item x="299"/>
        <item x="111"/>
        <item x="283"/>
        <item x="279"/>
        <item x="264"/>
        <item x="276"/>
        <item x="285"/>
        <item x="265"/>
        <item x="292"/>
        <item x="304"/>
        <item x="293"/>
        <item x="280"/>
        <item x="295"/>
        <item x="284"/>
        <item x="277"/>
        <item x="305"/>
        <item x="167"/>
        <item x="104"/>
        <item x="105"/>
        <item x="163"/>
        <item x="110"/>
        <item x="99"/>
        <item x="103"/>
        <item x="296"/>
        <item x="98"/>
        <item x="309"/>
        <item x="282"/>
        <item x="107"/>
        <item x="106"/>
        <item x="269"/>
        <item x="266"/>
        <item x="278"/>
        <item x="267"/>
        <item x="298"/>
        <item x="281"/>
        <item x="100"/>
        <item x="97"/>
        <item x="102"/>
        <item x="108"/>
        <item x="101"/>
        <item x="96"/>
        <item x="300"/>
        <item x="306"/>
        <item x="93"/>
        <item x="94"/>
        <item x="271"/>
        <item x="297"/>
        <item x="78"/>
        <item x="95"/>
        <item x="307"/>
        <item x="109"/>
        <item x="86"/>
        <item x="310"/>
        <item x="87"/>
        <item x="92"/>
        <item x="77"/>
        <item x="311"/>
        <item x="85"/>
        <item x="88"/>
        <item x="272"/>
        <item x="80"/>
        <item x="91"/>
        <item x="89"/>
        <item x="90"/>
        <item x="84"/>
        <item x="270"/>
        <item x="308"/>
        <item x="79"/>
        <item x="457"/>
        <item x="81"/>
        <item x="312"/>
        <item x="83"/>
        <item x="66"/>
        <item x="303"/>
        <item x="508"/>
        <item x="82"/>
        <item x="76"/>
        <item x="301"/>
        <item x="458"/>
        <item x="166"/>
        <item x="314"/>
        <item x="313"/>
        <item x="274"/>
        <item x="75"/>
        <item x="67"/>
        <item x="273"/>
        <item x="506"/>
        <item x="65"/>
        <item x="275"/>
        <item x="71"/>
        <item x="164"/>
        <item x="57"/>
        <item x="69"/>
        <item x="49"/>
        <item x="74"/>
        <item x="302"/>
        <item x="70"/>
        <item x="48"/>
        <item x="68"/>
        <item x="72"/>
        <item x="36"/>
        <item x="58"/>
        <item x="315"/>
        <item x="316"/>
        <item x="73"/>
        <item x="59"/>
        <item x="60"/>
        <item x="38"/>
        <item x="56"/>
        <item x="165"/>
        <item x="61"/>
        <item x="37"/>
        <item x="64"/>
        <item x="47"/>
        <item x="63"/>
        <item x="39"/>
        <item x="318"/>
        <item x="62"/>
        <item x="55"/>
        <item x="456"/>
        <item x="45"/>
        <item x="44"/>
        <item x="46"/>
        <item x="40"/>
        <item x="459"/>
        <item x="50"/>
        <item x="317"/>
        <item x="54"/>
        <item x="319"/>
        <item x="53"/>
        <item x="43"/>
        <item x="324"/>
        <item x="509"/>
        <item x="42"/>
        <item x="52"/>
        <item x="513"/>
        <item x="51"/>
        <item x="512"/>
        <item x="41"/>
        <item x="372"/>
        <item x="321"/>
        <item x="374"/>
        <item x="510"/>
        <item x="320"/>
        <item x="323"/>
        <item x="514"/>
        <item x="325"/>
        <item x="455"/>
        <item x="511"/>
        <item x="373"/>
        <item x="462"/>
        <item x="326"/>
        <item x="463"/>
        <item x="464"/>
        <item x="466"/>
        <item x="452"/>
        <item x="460"/>
        <item x="473"/>
        <item x="453"/>
        <item x="375"/>
        <item x="322"/>
        <item x="454"/>
        <item x="445"/>
        <item x="474"/>
        <item x="461"/>
        <item x="329"/>
        <item x="515"/>
        <item x="465"/>
        <item x="472"/>
        <item x="475"/>
        <item x="376"/>
        <item x="328"/>
        <item x="470"/>
        <item x="327"/>
        <item x="471"/>
        <item x="467"/>
        <item x="447"/>
        <item x="476"/>
        <item x="505"/>
        <item x="349"/>
        <item x="468"/>
        <item x="516"/>
        <item x="330"/>
        <item x="491"/>
        <item x="371"/>
        <item x="451"/>
        <item x="469"/>
        <item x="446"/>
        <item x="477"/>
        <item x="335"/>
        <item x="331"/>
        <item x="336"/>
        <item x="492"/>
        <item x="501"/>
        <item x="448"/>
        <item x="350"/>
        <item x="499"/>
        <item x="346"/>
        <item x="575"/>
        <item x="347"/>
        <item x="377"/>
        <item x="334"/>
        <item x="574"/>
        <item x="338"/>
        <item x="497"/>
        <item x="478"/>
        <item x="500"/>
        <item x="573"/>
        <item x="502"/>
        <item x="517"/>
        <item x="351"/>
        <item x="444"/>
        <item x="568"/>
        <item x="339"/>
        <item x="348"/>
        <item x="493"/>
        <item x="479"/>
        <item x="450"/>
        <item x="498"/>
        <item x="504"/>
        <item x="333"/>
        <item x="332"/>
        <item x="345"/>
        <item x="490"/>
        <item x="337"/>
        <item x="449"/>
        <item x="519"/>
        <item x="567"/>
        <item x="503"/>
        <item x="481"/>
        <item x="572"/>
        <item x="494"/>
        <item x="518"/>
        <item x="482"/>
        <item x="571"/>
        <item x="576"/>
        <item x="379"/>
        <item x="352"/>
        <item x="353"/>
        <item x="565"/>
        <item x="480"/>
        <item x="520"/>
        <item x="496"/>
        <item x="570"/>
        <item x="564"/>
        <item x="569"/>
        <item x="340"/>
        <item x="354"/>
        <item x="566"/>
        <item x="342"/>
        <item x="381"/>
        <item x="495"/>
        <item x="341"/>
        <item x="483"/>
        <item x="523"/>
        <item x="378"/>
        <item x="356"/>
        <item x="487"/>
        <item x="380"/>
        <item x="521"/>
        <item x="344"/>
        <item x="485"/>
        <item x="562"/>
        <item x="563"/>
        <item x="560"/>
        <item x="343"/>
        <item x="486"/>
        <item x="370"/>
        <item x="524"/>
        <item x="527"/>
        <item x="545"/>
        <item x="522"/>
        <item x="484"/>
        <item x="355"/>
        <item x="561"/>
        <item x="382"/>
        <item x="544"/>
        <item x="391"/>
        <item x="390"/>
        <item x="386"/>
        <item x="384"/>
        <item x="488"/>
        <item x="389"/>
        <item x="551"/>
        <item x="392"/>
        <item x="393"/>
        <item x="542"/>
        <item x="489"/>
        <item x="357"/>
        <item x="443"/>
        <item x="385"/>
        <item x="383"/>
        <item x="552"/>
        <item x="539"/>
        <item x="559"/>
        <item x="546"/>
        <item x="387"/>
        <item x="526"/>
        <item x="541"/>
        <item x="540"/>
        <item x="553"/>
        <item x="557"/>
        <item x="550"/>
        <item x="556"/>
        <item x="394"/>
        <item x="358"/>
        <item x="525"/>
        <item x="543"/>
        <item x="558"/>
        <item x="554"/>
        <item x="528"/>
        <item x="388"/>
        <item x="395"/>
        <item x="547"/>
        <item x="442"/>
        <item x="538"/>
        <item x="577"/>
        <item x="555"/>
        <item x="536"/>
        <item x="549"/>
        <item x="360"/>
        <item x="396"/>
        <item x="537"/>
        <item x="361"/>
        <item x="414"/>
        <item x="359"/>
        <item x="548"/>
        <item x="397"/>
        <item x="362"/>
        <item x="529"/>
        <item x="441"/>
        <item x="535"/>
        <item x="415"/>
        <item x="398"/>
        <item x="424"/>
        <item x="425"/>
        <item x="369"/>
        <item x="426"/>
        <item x="406"/>
        <item x="440"/>
        <item x="404"/>
        <item x="405"/>
        <item x="419"/>
        <item x="420"/>
        <item x="363"/>
        <item x="433"/>
        <item x="423"/>
        <item x="431"/>
        <item x="418"/>
        <item x="531"/>
        <item x="435"/>
        <item x="413"/>
        <item x="408"/>
        <item x="434"/>
        <item x="436"/>
        <item x="534"/>
        <item x="421"/>
        <item x="439"/>
        <item x="427"/>
        <item x="416"/>
        <item x="407"/>
        <item x="430"/>
        <item x="432"/>
        <item x="437"/>
        <item x="402"/>
        <item x="417"/>
        <item x="409"/>
        <item x="422"/>
        <item x="403"/>
        <item x="401"/>
        <item x="428"/>
        <item x="438"/>
        <item x="399"/>
        <item x="429"/>
        <item x="364"/>
        <item x="532"/>
        <item x="530"/>
        <item x="410"/>
        <item x="412"/>
        <item x="368"/>
        <item x="400"/>
        <item x="533"/>
        <item x="411"/>
        <item x="365"/>
        <item x="366"/>
        <item x="367"/>
        <item t="default"/>
      </items>
    </pivotField>
    <pivotField showAll="0"/>
    <pivotField showAll="0">
      <items count="521">
        <item x="462"/>
        <item x="109"/>
        <item x="463"/>
        <item x="355"/>
        <item x="356"/>
        <item x="357"/>
        <item x="416"/>
        <item x="271"/>
        <item x="415"/>
        <item x="110"/>
        <item x="165"/>
        <item x="114"/>
        <item x="449"/>
        <item x="426"/>
        <item x="10"/>
        <item x="281"/>
        <item x="163"/>
        <item x="298"/>
        <item x="425"/>
        <item x="264"/>
        <item x="175"/>
        <item x="353"/>
        <item x="113"/>
        <item x="164"/>
        <item x="334"/>
        <item x="461"/>
        <item x="450"/>
        <item x="354"/>
        <item x="391"/>
        <item x="249"/>
        <item x="337"/>
        <item x="239"/>
        <item x="228"/>
        <item x="421"/>
        <item x="243"/>
        <item x="293"/>
        <item x="489"/>
        <item x="456"/>
        <item x="414"/>
        <item x="238"/>
        <item x="248"/>
        <item x="413"/>
        <item x="369"/>
        <item x="314"/>
        <item x="491"/>
        <item x="485"/>
        <item x="137"/>
        <item x="162"/>
        <item x="282"/>
        <item x="196"/>
        <item x="302"/>
        <item x="155"/>
        <item x="479"/>
        <item x="496"/>
        <item x="486"/>
        <item x="390"/>
        <item x="424"/>
        <item x="274"/>
        <item x="487"/>
        <item x="278"/>
        <item x="483"/>
        <item x="195"/>
        <item x="157"/>
        <item x="67"/>
        <item x="219"/>
        <item x="297"/>
        <item x="510"/>
        <item x="230"/>
        <item x="232"/>
        <item x="499"/>
        <item x="211"/>
        <item x="108"/>
        <item x="315"/>
        <item x="503"/>
        <item x="154"/>
        <item x="378"/>
        <item x="138"/>
        <item x="241"/>
        <item x="381"/>
        <item x="50"/>
        <item x="335"/>
        <item x="133"/>
        <item x="205"/>
        <item x="191"/>
        <item x="467"/>
        <item x="68"/>
        <item x="361"/>
        <item x="507"/>
        <item x="434"/>
        <item x="130"/>
        <item x="457"/>
        <item x="502"/>
        <item x="145"/>
        <item x="251"/>
        <item x="240"/>
        <item x="184"/>
        <item x="111"/>
        <item x="210"/>
        <item x="59"/>
        <item x="324"/>
        <item x="11"/>
        <item x="320"/>
        <item x="136"/>
        <item x="135"/>
        <item x="325"/>
        <item x="309"/>
        <item x="229"/>
        <item x="225"/>
        <item x="185"/>
        <item x="79"/>
        <item x="203"/>
        <item x="411"/>
        <item x="267"/>
        <item x="237"/>
        <item x="399"/>
        <item x="343"/>
        <item x="56"/>
        <item x="169"/>
        <item x="289"/>
        <item x="60"/>
        <item x="362"/>
        <item x="121"/>
        <item x="44"/>
        <item x="148"/>
        <item x="328"/>
        <item x="129"/>
        <item x="49"/>
        <item x="436"/>
        <item x="77"/>
        <item x="412"/>
        <item x="442"/>
        <item x="103"/>
        <item x="514"/>
        <item x="126"/>
        <item x="186"/>
        <item x="247"/>
        <item x="190"/>
        <item x="132"/>
        <item x="153"/>
        <item x="94"/>
        <item x="400"/>
        <item x="193"/>
        <item x="389"/>
        <item x="365"/>
        <item x="495"/>
        <item x="37"/>
        <item x="511"/>
        <item x="259"/>
        <item x="58"/>
        <item x="174"/>
        <item x="405"/>
        <item x="181"/>
        <item x="366"/>
        <item x="99"/>
        <item x="410"/>
        <item x="220"/>
        <item x="127"/>
        <item x="76"/>
        <item x="182"/>
        <item x="80"/>
        <item x="395"/>
        <item x="292"/>
        <item x="404"/>
        <item x="478"/>
        <item x="78"/>
        <item x="455"/>
        <item x="198"/>
        <item x="42"/>
        <item x="508"/>
        <item x="280"/>
        <item x="505"/>
        <item x="447"/>
        <item x="396"/>
        <item x="146"/>
        <item x="277"/>
        <item x="176"/>
        <item x="379"/>
        <item x="346"/>
        <item x="446"/>
        <item x="420"/>
        <item x="86"/>
        <item x="43"/>
        <item x="97"/>
        <item x="468"/>
        <item x="227"/>
        <item x="245"/>
        <item x="73"/>
        <item x="87"/>
        <item x="189"/>
        <item x="93"/>
        <item x="472"/>
        <item x="54"/>
        <item x="513"/>
        <item x="88"/>
        <item x="209"/>
        <item x="370"/>
        <item x="312"/>
        <item x="46"/>
        <item x="82"/>
        <item x="385"/>
        <item x="515"/>
        <item x="104"/>
        <item x="66"/>
        <item x="131"/>
        <item x="516"/>
        <item x="383"/>
        <item x="117"/>
        <item x="283"/>
        <item x="333"/>
        <item x="71"/>
        <item x="142"/>
        <item x="57"/>
        <item x="65"/>
        <item x="407"/>
        <item x="98"/>
        <item x="45"/>
        <item x="319"/>
        <item x="216"/>
        <item x="331"/>
        <item x="20"/>
        <item x="51"/>
        <item x="166"/>
        <item x="183"/>
        <item x="500"/>
        <item x="150"/>
        <item x="235"/>
        <item x="371"/>
        <item x="102"/>
        <item x="23"/>
        <item x="48"/>
        <item x="106"/>
        <item x="0"/>
        <item x="397"/>
        <item x="506"/>
        <item x="55"/>
        <item x="27"/>
        <item x="14"/>
        <item x="92"/>
        <item x="341"/>
        <item x="24"/>
        <item x="147"/>
        <item x="156"/>
        <item x="25"/>
        <item x="15"/>
        <item x="26"/>
        <item x="382"/>
        <item x="304"/>
        <item x="372"/>
        <item x="28"/>
        <item x="22"/>
        <item x="72"/>
        <item x="401"/>
        <item x="90"/>
        <item x="85"/>
        <item x="96"/>
        <item x="95"/>
        <item x="17"/>
        <item x="408"/>
        <item x="89"/>
        <item x="409"/>
        <item x="261"/>
        <item x="123"/>
        <item x="101"/>
        <item x="288"/>
        <item x="75"/>
        <item x="394"/>
        <item x="263"/>
        <item x="192"/>
        <item x="330"/>
        <item x="443"/>
        <item x="91"/>
        <item x="13"/>
        <item x="254"/>
        <item x="422"/>
        <item x="47"/>
        <item x="347"/>
        <item x="177"/>
        <item x="62"/>
        <item x="21"/>
        <item x="423"/>
        <item x="38"/>
        <item x="128"/>
        <item x="188"/>
        <item x="171"/>
        <item x="84"/>
        <item x="431"/>
        <item x="3"/>
        <item x="244"/>
        <item x="448"/>
        <item x="34"/>
        <item x="63"/>
        <item x="168"/>
        <item x="380"/>
        <item x="299"/>
        <item x="234"/>
        <item x="255"/>
        <item x="475"/>
        <item x="83"/>
        <item x="440"/>
        <item x="504"/>
        <item x="213"/>
        <item x="167"/>
        <item x="233"/>
        <item x="212"/>
        <item x="488"/>
        <item x="105"/>
        <item x="398"/>
        <item x="300"/>
        <item x="61"/>
        <item x="435"/>
        <item x="326"/>
        <item x="501"/>
        <item x="497"/>
        <item x="18"/>
        <item x="197"/>
        <item x="406"/>
        <item x="29"/>
        <item x="386"/>
        <item x="403"/>
        <item x="275"/>
        <item x="124"/>
        <item x="116"/>
        <item x="107"/>
        <item x="139"/>
        <item x="122"/>
        <item x="305"/>
        <item x="270"/>
        <item x="348"/>
        <item x="374"/>
        <item x="272"/>
        <item x="12"/>
        <item x="207"/>
        <item x="64"/>
        <item x="437"/>
        <item x="74"/>
        <item x="466"/>
        <item x="509"/>
        <item x="284"/>
        <item x="373"/>
        <item x="36"/>
        <item x="172"/>
        <item x="118"/>
        <item x="517"/>
        <item x="100"/>
        <item x="498"/>
        <item x="439"/>
        <item x="204"/>
        <item x="301"/>
        <item x="430"/>
        <item x="214"/>
        <item x="268"/>
        <item x="194"/>
        <item x="242"/>
        <item x="290"/>
        <item x="279"/>
        <item x="458"/>
        <item x="202"/>
        <item x="427"/>
        <item x="149"/>
        <item x="285"/>
        <item x="317"/>
        <item x="453"/>
        <item x="222"/>
        <item x="39"/>
        <item x="388"/>
        <item x="322"/>
        <item x="69"/>
        <item x="179"/>
        <item x="306"/>
        <item x="70"/>
        <item x="364"/>
        <item x="438"/>
        <item x="125"/>
        <item x="81"/>
        <item x="451"/>
        <item x="460"/>
        <item x="336"/>
        <item x="40"/>
        <item x="273"/>
        <item x="19"/>
        <item x="152"/>
        <item x="387"/>
        <item x="339"/>
        <item x="151"/>
        <item x="201"/>
        <item x="459"/>
        <item x="473"/>
        <item x="161"/>
        <item x="226"/>
        <item x="187"/>
        <item x="402"/>
        <item x="384"/>
        <item x="291"/>
        <item x="375"/>
        <item x="4"/>
        <item x="476"/>
        <item x="221"/>
        <item x="206"/>
        <item x="367"/>
        <item x="224"/>
        <item x="332"/>
        <item x="2"/>
        <item x="33"/>
        <item x="368"/>
        <item x="170"/>
        <item x="484"/>
        <item x="144"/>
        <item x="218"/>
        <item x="310"/>
        <item x="392"/>
        <item x="215"/>
        <item x="445"/>
        <item x="257"/>
        <item x="178"/>
        <item x="350"/>
        <item x="180"/>
        <item x="296"/>
        <item x="377"/>
        <item x="173"/>
        <item x="276"/>
        <item x="444"/>
        <item x="352"/>
        <item x="493"/>
        <item x="340"/>
        <item x="518"/>
        <item x="236"/>
        <item x="307"/>
        <item x="208"/>
        <item x="454"/>
        <item x="262"/>
        <item x="338"/>
        <item x="287"/>
        <item x="359"/>
        <item x="492"/>
        <item x="490"/>
        <item x="53"/>
        <item x="303"/>
        <item x="342"/>
        <item x="200"/>
        <item x="452"/>
        <item x="474"/>
        <item x="441"/>
        <item x="231"/>
        <item x="363"/>
        <item x="119"/>
        <item x="419"/>
        <item x="393"/>
        <item x="494"/>
        <item x="223"/>
        <item x="418"/>
        <item x="266"/>
        <item x="349"/>
        <item x="428"/>
        <item x="41"/>
        <item x="432"/>
        <item x="344"/>
        <item x="217"/>
        <item x="269"/>
        <item x="323"/>
        <item x="30"/>
        <item x="250"/>
        <item x="470"/>
        <item x="16"/>
        <item x="316"/>
        <item x="260"/>
        <item x="295"/>
        <item x="143"/>
        <item x="246"/>
        <item x="327"/>
        <item x="199"/>
        <item x="376"/>
        <item x="311"/>
        <item x="5"/>
        <item x="134"/>
        <item x="308"/>
        <item x="345"/>
        <item x="481"/>
        <item x="358"/>
        <item x="512"/>
        <item x="329"/>
        <item x="258"/>
        <item x="158"/>
        <item x="141"/>
        <item x="321"/>
        <item x="313"/>
        <item x="477"/>
        <item x="429"/>
        <item x="351"/>
        <item x="471"/>
        <item x="6"/>
        <item x="294"/>
        <item x="318"/>
        <item x="52"/>
        <item x="7"/>
        <item x="480"/>
        <item x="469"/>
        <item x="120"/>
        <item x="112"/>
        <item x="360"/>
        <item x="256"/>
        <item x="265"/>
        <item x="433"/>
        <item x="417"/>
        <item x="140"/>
        <item x="286"/>
        <item x="32"/>
        <item x="482"/>
        <item x="31"/>
        <item x="253"/>
        <item x="252"/>
        <item x="160"/>
        <item x="465"/>
        <item x="1"/>
        <item x="519"/>
        <item x="115"/>
        <item x="464"/>
        <item x="35"/>
        <item x="8"/>
        <item x="159"/>
        <item x="9"/>
        <item t="default"/>
      </items>
    </pivotField>
    <pivotField axis="axisRow" showAll="0" sortType="ascending">
      <items count="5">
        <item x="1"/>
        <item x="0"/>
        <item x="2"/>
        <item x="3"/>
        <item t="default"/>
      </items>
    </pivotField>
  </pivotFields>
  <rowFields count="1">
    <field x="8"/>
  </rowFields>
  <rowItems count="5">
    <i>
      <x/>
    </i>
    <i>
      <x v="1"/>
    </i>
    <i>
      <x v="2"/>
    </i>
    <i>
      <x v="3"/>
    </i>
    <i t="grand">
      <x/>
    </i>
  </rowItems>
  <colItems count="1">
    <i/>
  </colItems>
  <dataFields count="1">
    <dataField name="No_Of_Month" fld="2" subtotal="count" baseField="8" baseItem="0"/>
  </dataFields>
  <formats count="10">
    <format dxfId="929">
      <pivotArea type="all" dataOnly="0" outline="0" fieldPosition="0"/>
    </format>
    <format dxfId="928">
      <pivotArea outline="0" collapsedLevelsAreSubtotals="1" fieldPosition="0"/>
    </format>
    <format dxfId="927">
      <pivotArea field="3" type="button" dataOnly="0" labelOnly="1" outline="0"/>
    </format>
    <format dxfId="926">
      <pivotArea dataOnly="0" labelOnly="1" grandRow="1" outline="0" fieldPosition="0"/>
    </format>
    <format dxfId="925">
      <pivotArea dataOnly="0" labelOnly="1" outline="0" axis="axisValues" fieldPosition="0"/>
    </format>
    <format dxfId="924">
      <pivotArea type="all" dataOnly="0" outline="0" fieldPosition="0"/>
    </format>
    <format dxfId="923">
      <pivotArea outline="0" collapsedLevelsAreSubtotals="1" fieldPosition="0"/>
    </format>
    <format dxfId="922">
      <pivotArea field="3" type="button" dataOnly="0" labelOnly="1" outline="0"/>
    </format>
    <format dxfId="921">
      <pivotArea dataOnly="0" labelOnly="1" grandRow="1" outline="0" fieldPosition="0"/>
    </format>
    <format dxfId="92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Month_Avgchange" cacheId="3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rowHeaderCaption="Month">
  <location ref="A2:B15" firstHeaderRow="1" firstDataRow="1" firstDataCol="1"/>
  <pivotFields count="9">
    <pivotField numFmtId="14" showAll="0">
      <items count="6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t="default"/>
      </items>
    </pivotField>
    <pivotField showAll="0"/>
    <pivotField showAll="0">
      <items count="13">
        <item x="0"/>
        <item x="1"/>
        <item x="2"/>
        <item x="3"/>
        <item x="4"/>
        <item x="5"/>
        <item x="6"/>
        <item x="7"/>
        <item x="8"/>
        <item x="9"/>
        <item x="10"/>
        <item x="11"/>
        <item t="default"/>
      </items>
    </pivotField>
    <pivotField axis="axisRow" showAll="0">
      <items count="13">
        <item x="0"/>
        <item x="1"/>
        <item x="2"/>
        <item x="3"/>
        <item x="4"/>
        <item x="5"/>
        <item x="6"/>
        <item x="7"/>
        <item x="8"/>
        <item x="9"/>
        <item x="10"/>
        <item x="11"/>
        <item t="default"/>
      </items>
    </pivotField>
    <pivotField showAl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umFmtId="2" showAll="0">
      <items count="579">
        <item x="0"/>
        <item x="1"/>
        <item x="2"/>
        <item x="3"/>
        <item x="4"/>
        <item x="5"/>
        <item x="6"/>
        <item x="7"/>
        <item x="8"/>
        <item x="117"/>
        <item x="11"/>
        <item x="12"/>
        <item x="252"/>
        <item x="13"/>
        <item x="14"/>
        <item x="15"/>
        <item x="10"/>
        <item x="254"/>
        <item x="253"/>
        <item x="16"/>
        <item x="17"/>
        <item x="116"/>
        <item x="251"/>
        <item x="18"/>
        <item x="114"/>
        <item x="142"/>
        <item x="20"/>
        <item x="246"/>
        <item x="248"/>
        <item x="19"/>
        <item x="143"/>
        <item x="21"/>
        <item x="113"/>
        <item x="23"/>
        <item x="22"/>
        <item x="247"/>
        <item x="24"/>
        <item x="25"/>
        <item x="26"/>
        <item x="27"/>
        <item x="28"/>
        <item x="29"/>
        <item x="9"/>
        <item x="141"/>
        <item x="243"/>
        <item x="255"/>
        <item x="30"/>
        <item x="250"/>
        <item x="244"/>
        <item x="198"/>
        <item x="118"/>
        <item x="115"/>
        <item x="195"/>
        <item x="197"/>
        <item x="249"/>
        <item x="120"/>
        <item x="245"/>
        <item x="119"/>
        <item x="242"/>
        <item x="196"/>
        <item x="121"/>
        <item x="139"/>
        <item x="31"/>
        <item x="140"/>
        <item x="144"/>
        <item x="136"/>
        <item x="241"/>
        <item x="199"/>
        <item x="194"/>
        <item x="161"/>
        <item x="138"/>
        <item x="122"/>
        <item x="135"/>
        <item x="256"/>
        <item x="192"/>
        <item x="112"/>
        <item x="205"/>
        <item x="257"/>
        <item x="212"/>
        <item x="214"/>
        <item x="203"/>
        <item x="137"/>
        <item x="200"/>
        <item x="191"/>
        <item x="146"/>
        <item x="258"/>
        <item x="134"/>
        <item x="145"/>
        <item x="193"/>
        <item x="159"/>
        <item x="160"/>
        <item x="133"/>
        <item x="215"/>
        <item x="213"/>
        <item x="152"/>
        <item x="206"/>
        <item x="202"/>
        <item x="204"/>
        <item x="240"/>
        <item x="162"/>
        <item x="187"/>
        <item x="124"/>
        <item x="208"/>
        <item x="211"/>
        <item x="177"/>
        <item x="207"/>
        <item x="179"/>
        <item x="32"/>
        <item x="190"/>
        <item x="178"/>
        <item x="150"/>
        <item x="151"/>
        <item x="218"/>
        <item x="125"/>
        <item x="217"/>
        <item x="216"/>
        <item x="232"/>
        <item x="201"/>
        <item x="126"/>
        <item x="234"/>
        <item x="171"/>
        <item x="149"/>
        <item x="147"/>
        <item x="123"/>
        <item x="169"/>
        <item x="188"/>
        <item x="158"/>
        <item x="131"/>
        <item x="235"/>
        <item x="154"/>
        <item x="127"/>
        <item x="153"/>
        <item x="210"/>
        <item x="189"/>
        <item x="170"/>
        <item x="222"/>
        <item x="288"/>
        <item x="132"/>
        <item x="180"/>
        <item x="209"/>
        <item x="237"/>
        <item x="287"/>
        <item x="236"/>
        <item x="128"/>
        <item x="130"/>
        <item x="186"/>
        <item x="259"/>
        <item x="172"/>
        <item x="221"/>
        <item x="239"/>
        <item x="289"/>
        <item x="148"/>
        <item x="231"/>
        <item x="155"/>
        <item x="173"/>
        <item x="233"/>
        <item x="219"/>
        <item x="181"/>
        <item x="223"/>
        <item x="157"/>
        <item x="129"/>
        <item x="290"/>
        <item x="238"/>
        <item x="174"/>
        <item x="185"/>
        <item x="184"/>
        <item x="183"/>
        <item x="260"/>
        <item x="156"/>
        <item x="230"/>
        <item x="224"/>
        <item x="220"/>
        <item x="286"/>
        <item x="33"/>
        <item x="176"/>
        <item x="182"/>
        <item x="507"/>
        <item x="175"/>
        <item x="262"/>
        <item x="34"/>
        <item x="225"/>
        <item x="227"/>
        <item x="35"/>
        <item x="168"/>
        <item x="261"/>
        <item x="229"/>
        <item x="268"/>
        <item x="226"/>
        <item x="228"/>
        <item x="291"/>
        <item x="263"/>
        <item x="294"/>
        <item x="299"/>
        <item x="111"/>
        <item x="283"/>
        <item x="279"/>
        <item x="264"/>
        <item x="276"/>
        <item x="285"/>
        <item x="265"/>
        <item x="292"/>
        <item x="304"/>
        <item x="293"/>
        <item x="280"/>
        <item x="295"/>
        <item x="284"/>
        <item x="277"/>
        <item x="305"/>
        <item x="167"/>
        <item x="104"/>
        <item x="105"/>
        <item x="163"/>
        <item x="110"/>
        <item x="99"/>
        <item x="103"/>
        <item x="296"/>
        <item x="98"/>
        <item x="309"/>
        <item x="282"/>
        <item x="107"/>
        <item x="106"/>
        <item x="269"/>
        <item x="266"/>
        <item x="278"/>
        <item x="267"/>
        <item x="298"/>
        <item x="281"/>
        <item x="100"/>
        <item x="97"/>
        <item x="102"/>
        <item x="108"/>
        <item x="101"/>
        <item x="96"/>
        <item x="300"/>
        <item x="306"/>
        <item x="93"/>
        <item x="94"/>
        <item x="271"/>
        <item x="297"/>
        <item x="78"/>
        <item x="95"/>
        <item x="307"/>
        <item x="109"/>
        <item x="86"/>
        <item x="310"/>
        <item x="87"/>
        <item x="92"/>
        <item x="77"/>
        <item x="311"/>
        <item x="85"/>
        <item x="88"/>
        <item x="272"/>
        <item x="80"/>
        <item x="91"/>
        <item x="89"/>
        <item x="90"/>
        <item x="84"/>
        <item x="270"/>
        <item x="308"/>
        <item x="79"/>
        <item x="457"/>
        <item x="81"/>
        <item x="312"/>
        <item x="83"/>
        <item x="66"/>
        <item x="303"/>
        <item x="508"/>
        <item x="82"/>
        <item x="76"/>
        <item x="301"/>
        <item x="458"/>
        <item x="166"/>
        <item x="314"/>
        <item x="313"/>
        <item x="274"/>
        <item x="75"/>
        <item x="67"/>
        <item x="273"/>
        <item x="506"/>
        <item x="65"/>
        <item x="275"/>
        <item x="71"/>
        <item x="164"/>
        <item x="57"/>
        <item x="69"/>
        <item x="49"/>
        <item x="74"/>
        <item x="302"/>
        <item x="70"/>
        <item x="48"/>
        <item x="68"/>
        <item x="72"/>
        <item x="36"/>
        <item x="58"/>
        <item x="315"/>
        <item x="316"/>
        <item x="73"/>
        <item x="59"/>
        <item x="60"/>
        <item x="38"/>
        <item x="56"/>
        <item x="165"/>
        <item x="61"/>
        <item x="37"/>
        <item x="64"/>
        <item x="47"/>
        <item x="63"/>
        <item x="39"/>
        <item x="318"/>
        <item x="62"/>
        <item x="55"/>
        <item x="456"/>
        <item x="45"/>
        <item x="44"/>
        <item x="46"/>
        <item x="40"/>
        <item x="459"/>
        <item x="50"/>
        <item x="317"/>
        <item x="54"/>
        <item x="319"/>
        <item x="53"/>
        <item x="43"/>
        <item x="324"/>
        <item x="509"/>
        <item x="42"/>
        <item x="52"/>
        <item x="513"/>
        <item x="51"/>
        <item x="512"/>
        <item x="41"/>
        <item x="372"/>
        <item x="321"/>
        <item x="374"/>
        <item x="510"/>
        <item x="320"/>
        <item x="323"/>
        <item x="514"/>
        <item x="325"/>
        <item x="455"/>
        <item x="511"/>
        <item x="373"/>
        <item x="462"/>
        <item x="326"/>
        <item x="463"/>
        <item x="464"/>
        <item x="466"/>
        <item x="452"/>
        <item x="460"/>
        <item x="473"/>
        <item x="453"/>
        <item x="375"/>
        <item x="322"/>
        <item x="454"/>
        <item x="445"/>
        <item x="474"/>
        <item x="461"/>
        <item x="329"/>
        <item x="515"/>
        <item x="465"/>
        <item x="472"/>
        <item x="475"/>
        <item x="376"/>
        <item x="328"/>
        <item x="470"/>
        <item x="327"/>
        <item x="471"/>
        <item x="467"/>
        <item x="447"/>
        <item x="476"/>
        <item x="505"/>
        <item x="349"/>
        <item x="468"/>
        <item x="516"/>
        <item x="330"/>
        <item x="491"/>
        <item x="371"/>
        <item x="451"/>
        <item x="469"/>
        <item x="446"/>
        <item x="477"/>
        <item x="335"/>
        <item x="331"/>
        <item x="336"/>
        <item x="492"/>
        <item x="501"/>
        <item x="448"/>
        <item x="350"/>
        <item x="499"/>
        <item x="346"/>
        <item x="575"/>
        <item x="347"/>
        <item x="377"/>
        <item x="334"/>
        <item x="574"/>
        <item x="338"/>
        <item x="497"/>
        <item x="478"/>
        <item x="500"/>
        <item x="573"/>
        <item x="502"/>
        <item x="517"/>
        <item x="351"/>
        <item x="444"/>
        <item x="568"/>
        <item x="339"/>
        <item x="348"/>
        <item x="493"/>
        <item x="479"/>
        <item x="450"/>
        <item x="498"/>
        <item x="504"/>
        <item x="333"/>
        <item x="332"/>
        <item x="345"/>
        <item x="490"/>
        <item x="337"/>
        <item x="449"/>
        <item x="519"/>
        <item x="567"/>
        <item x="503"/>
        <item x="481"/>
        <item x="572"/>
        <item x="494"/>
        <item x="518"/>
        <item x="482"/>
        <item x="571"/>
        <item x="576"/>
        <item x="379"/>
        <item x="352"/>
        <item x="353"/>
        <item x="565"/>
        <item x="480"/>
        <item x="520"/>
        <item x="496"/>
        <item x="570"/>
        <item x="564"/>
        <item x="569"/>
        <item x="340"/>
        <item x="354"/>
        <item x="566"/>
        <item x="342"/>
        <item x="381"/>
        <item x="495"/>
        <item x="341"/>
        <item x="483"/>
        <item x="523"/>
        <item x="378"/>
        <item x="356"/>
        <item x="487"/>
        <item x="380"/>
        <item x="521"/>
        <item x="344"/>
        <item x="485"/>
        <item x="562"/>
        <item x="563"/>
        <item x="560"/>
        <item x="343"/>
        <item x="486"/>
        <item x="370"/>
        <item x="524"/>
        <item x="527"/>
        <item x="545"/>
        <item x="522"/>
        <item x="484"/>
        <item x="355"/>
        <item x="561"/>
        <item x="382"/>
        <item x="544"/>
        <item x="391"/>
        <item x="390"/>
        <item x="386"/>
        <item x="384"/>
        <item x="488"/>
        <item x="389"/>
        <item x="551"/>
        <item x="392"/>
        <item x="393"/>
        <item x="542"/>
        <item x="489"/>
        <item x="357"/>
        <item x="443"/>
        <item x="385"/>
        <item x="383"/>
        <item x="552"/>
        <item x="539"/>
        <item x="559"/>
        <item x="546"/>
        <item x="387"/>
        <item x="526"/>
        <item x="541"/>
        <item x="540"/>
        <item x="553"/>
        <item x="557"/>
        <item x="550"/>
        <item x="556"/>
        <item x="394"/>
        <item x="358"/>
        <item x="525"/>
        <item x="543"/>
        <item x="558"/>
        <item x="554"/>
        <item x="528"/>
        <item x="388"/>
        <item x="395"/>
        <item x="547"/>
        <item x="442"/>
        <item x="538"/>
        <item x="577"/>
        <item x="555"/>
        <item x="536"/>
        <item x="549"/>
        <item x="360"/>
        <item x="396"/>
        <item x="537"/>
        <item x="361"/>
        <item x="414"/>
        <item x="359"/>
        <item x="548"/>
        <item x="397"/>
        <item x="362"/>
        <item x="529"/>
        <item x="441"/>
        <item x="535"/>
        <item x="415"/>
        <item x="398"/>
        <item x="424"/>
        <item x="425"/>
        <item x="369"/>
        <item x="426"/>
        <item x="406"/>
        <item x="440"/>
        <item x="404"/>
        <item x="405"/>
        <item x="419"/>
        <item x="420"/>
        <item x="363"/>
        <item x="433"/>
        <item x="423"/>
        <item x="431"/>
        <item x="418"/>
        <item x="531"/>
        <item x="435"/>
        <item x="413"/>
        <item x="408"/>
        <item x="434"/>
        <item x="436"/>
        <item x="534"/>
        <item x="421"/>
        <item x="439"/>
        <item x="427"/>
        <item x="416"/>
        <item x="407"/>
        <item x="430"/>
        <item x="432"/>
        <item x="437"/>
        <item x="402"/>
        <item x="417"/>
        <item x="409"/>
        <item x="422"/>
        <item x="403"/>
        <item x="401"/>
        <item x="428"/>
        <item x="438"/>
        <item x="399"/>
        <item x="429"/>
        <item x="364"/>
        <item x="532"/>
        <item x="530"/>
        <item x="410"/>
        <item x="412"/>
        <item x="368"/>
        <item x="400"/>
        <item x="533"/>
        <item x="411"/>
        <item x="365"/>
        <item x="366"/>
        <item x="367"/>
        <item t="default"/>
      </items>
    </pivotField>
    <pivotField showAll="0"/>
    <pivotField dataField="1" showAll="0">
      <items count="521">
        <item x="462"/>
        <item x="109"/>
        <item x="463"/>
        <item x="355"/>
        <item x="356"/>
        <item x="357"/>
        <item x="416"/>
        <item x="271"/>
        <item x="415"/>
        <item x="110"/>
        <item x="165"/>
        <item x="114"/>
        <item x="449"/>
        <item x="426"/>
        <item x="10"/>
        <item x="281"/>
        <item x="163"/>
        <item x="298"/>
        <item x="425"/>
        <item x="264"/>
        <item x="175"/>
        <item x="353"/>
        <item x="113"/>
        <item x="164"/>
        <item x="334"/>
        <item x="461"/>
        <item x="450"/>
        <item x="354"/>
        <item x="391"/>
        <item x="249"/>
        <item x="337"/>
        <item x="239"/>
        <item x="228"/>
        <item x="421"/>
        <item x="243"/>
        <item x="293"/>
        <item x="489"/>
        <item x="456"/>
        <item x="414"/>
        <item x="238"/>
        <item x="248"/>
        <item x="413"/>
        <item x="369"/>
        <item x="314"/>
        <item x="491"/>
        <item x="485"/>
        <item x="137"/>
        <item x="162"/>
        <item x="282"/>
        <item x="196"/>
        <item x="302"/>
        <item x="155"/>
        <item x="479"/>
        <item x="496"/>
        <item x="486"/>
        <item x="390"/>
        <item x="424"/>
        <item x="274"/>
        <item x="487"/>
        <item x="278"/>
        <item x="483"/>
        <item x="195"/>
        <item x="157"/>
        <item x="67"/>
        <item x="219"/>
        <item x="297"/>
        <item x="510"/>
        <item x="230"/>
        <item x="232"/>
        <item x="499"/>
        <item x="211"/>
        <item x="108"/>
        <item x="315"/>
        <item x="503"/>
        <item x="154"/>
        <item x="378"/>
        <item x="138"/>
        <item x="241"/>
        <item x="381"/>
        <item x="50"/>
        <item x="335"/>
        <item x="133"/>
        <item x="205"/>
        <item x="191"/>
        <item x="467"/>
        <item x="68"/>
        <item x="361"/>
        <item x="507"/>
        <item x="434"/>
        <item x="130"/>
        <item x="457"/>
        <item x="502"/>
        <item x="145"/>
        <item x="251"/>
        <item x="240"/>
        <item x="184"/>
        <item x="111"/>
        <item x="210"/>
        <item x="59"/>
        <item x="324"/>
        <item x="11"/>
        <item x="320"/>
        <item x="136"/>
        <item x="135"/>
        <item x="325"/>
        <item x="309"/>
        <item x="229"/>
        <item x="225"/>
        <item x="185"/>
        <item x="79"/>
        <item x="203"/>
        <item x="411"/>
        <item x="267"/>
        <item x="237"/>
        <item x="399"/>
        <item x="343"/>
        <item x="56"/>
        <item x="169"/>
        <item x="289"/>
        <item x="60"/>
        <item x="362"/>
        <item x="121"/>
        <item x="44"/>
        <item x="148"/>
        <item x="328"/>
        <item x="129"/>
        <item x="49"/>
        <item x="436"/>
        <item x="77"/>
        <item x="412"/>
        <item x="442"/>
        <item x="103"/>
        <item x="514"/>
        <item x="126"/>
        <item x="186"/>
        <item x="247"/>
        <item x="190"/>
        <item x="132"/>
        <item x="153"/>
        <item x="94"/>
        <item x="400"/>
        <item x="193"/>
        <item x="389"/>
        <item x="365"/>
        <item x="495"/>
        <item x="37"/>
        <item x="511"/>
        <item x="259"/>
        <item x="58"/>
        <item x="174"/>
        <item x="405"/>
        <item x="181"/>
        <item x="366"/>
        <item x="99"/>
        <item x="410"/>
        <item x="220"/>
        <item x="127"/>
        <item x="76"/>
        <item x="182"/>
        <item x="80"/>
        <item x="395"/>
        <item x="292"/>
        <item x="404"/>
        <item x="478"/>
        <item x="78"/>
        <item x="455"/>
        <item x="198"/>
        <item x="42"/>
        <item x="508"/>
        <item x="280"/>
        <item x="505"/>
        <item x="447"/>
        <item x="396"/>
        <item x="146"/>
        <item x="277"/>
        <item x="176"/>
        <item x="379"/>
        <item x="346"/>
        <item x="446"/>
        <item x="420"/>
        <item x="86"/>
        <item x="43"/>
        <item x="97"/>
        <item x="468"/>
        <item x="227"/>
        <item x="245"/>
        <item x="73"/>
        <item x="87"/>
        <item x="189"/>
        <item x="93"/>
        <item x="472"/>
        <item x="54"/>
        <item x="513"/>
        <item x="88"/>
        <item x="209"/>
        <item x="370"/>
        <item x="312"/>
        <item x="46"/>
        <item x="82"/>
        <item x="385"/>
        <item x="515"/>
        <item x="104"/>
        <item x="66"/>
        <item x="131"/>
        <item x="516"/>
        <item x="383"/>
        <item x="117"/>
        <item x="283"/>
        <item x="333"/>
        <item x="71"/>
        <item x="142"/>
        <item x="57"/>
        <item x="65"/>
        <item x="407"/>
        <item x="98"/>
        <item x="45"/>
        <item x="319"/>
        <item x="216"/>
        <item x="331"/>
        <item x="20"/>
        <item x="51"/>
        <item x="166"/>
        <item x="183"/>
        <item x="500"/>
        <item x="150"/>
        <item x="235"/>
        <item x="371"/>
        <item x="102"/>
        <item x="23"/>
        <item x="48"/>
        <item x="106"/>
        <item x="0"/>
        <item x="397"/>
        <item x="506"/>
        <item x="55"/>
        <item x="27"/>
        <item x="14"/>
        <item x="92"/>
        <item x="341"/>
        <item x="24"/>
        <item x="147"/>
        <item x="156"/>
        <item x="25"/>
        <item x="15"/>
        <item x="26"/>
        <item x="382"/>
        <item x="304"/>
        <item x="372"/>
        <item x="28"/>
        <item x="22"/>
        <item x="72"/>
        <item x="401"/>
        <item x="90"/>
        <item x="85"/>
        <item x="96"/>
        <item x="95"/>
        <item x="17"/>
        <item x="408"/>
        <item x="89"/>
        <item x="409"/>
        <item x="261"/>
        <item x="123"/>
        <item x="101"/>
        <item x="288"/>
        <item x="75"/>
        <item x="394"/>
        <item x="263"/>
        <item x="192"/>
        <item x="330"/>
        <item x="443"/>
        <item x="91"/>
        <item x="13"/>
        <item x="254"/>
        <item x="422"/>
        <item x="47"/>
        <item x="347"/>
        <item x="177"/>
        <item x="62"/>
        <item x="21"/>
        <item x="423"/>
        <item x="38"/>
        <item x="128"/>
        <item x="188"/>
        <item x="171"/>
        <item x="84"/>
        <item x="431"/>
        <item x="3"/>
        <item x="244"/>
        <item x="448"/>
        <item x="34"/>
        <item x="63"/>
        <item x="168"/>
        <item x="380"/>
        <item x="299"/>
        <item x="234"/>
        <item x="255"/>
        <item x="475"/>
        <item x="83"/>
        <item x="440"/>
        <item x="504"/>
        <item x="213"/>
        <item x="167"/>
        <item x="233"/>
        <item x="212"/>
        <item x="488"/>
        <item x="105"/>
        <item x="398"/>
        <item x="300"/>
        <item x="61"/>
        <item x="435"/>
        <item x="326"/>
        <item x="501"/>
        <item x="497"/>
        <item x="18"/>
        <item x="197"/>
        <item x="406"/>
        <item x="29"/>
        <item x="386"/>
        <item x="403"/>
        <item x="275"/>
        <item x="124"/>
        <item x="116"/>
        <item x="107"/>
        <item x="139"/>
        <item x="122"/>
        <item x="305"/>
        <item x="270"/>
        <item x="348"/>
        <item x="374"/>
        <item x="272"/>
        <item x="12"/>
        <item x="207"/>
        <item x="64"/>
        <item x="437"/>
        <item x="74"/>
        <item x="466"/>
        <item x="509"/>
        <item x="284"/>
        <item x="373"/>
        <item x="36"/>
        <item x="172"/>
        <item x="118"/>
        <item x="517"/>
        <item x="100"/>
        <item x="498"/>
        <item x="439"/>
        <item x="204"/>
        <item x="301"/>
        <item x="430"/>
        <item x="214"/>
        <item x="268"/>
        <item x="194"/>
        <item x="242"/>
        <item x="290"/>
        <item x="279"/>
        <item x="458"/>
        <item x="202"/>
        <item x="427"/>
        <item x="149"/>
        <item x="285"/>
        <item x="317"/>
        <item x="453"/>
        <item x="222"/>
        <item x="39"/>
        <item x="388"/>
        <item x="322"/>
        <item x="69"/>
        <item x="179"/>
        <item x="306"/>
        <item x="70"/>
        <item x="364"/>
        <item x="438"/>
        <item x="125"/>
        <item x="81"/>
        <item x="451"/>
        <item x="460"/>
        <item x="336"/>
        <item x="40"/>
        <item x="273"/>
        <item x="19"/>
        <item x="152"/>
        <item x="387"/>
        <item x="339"/>
        <item x="151"/>
        <item x="201"/>
        <item x="459"/>
        <item x="473"/>
        <item x="161"/>
        <item x="226"/>
        <item x="187"/>
        <item x="402"/>
        <item x="384"/>
        <item x="291"/>
        <item x="375"/>
        <item x="4"/>
        <item x="476"/>
        <item x="221"/>
        <item x="206"/>
        <item x="367"/>
        <item x="224"/>
        <item x="332"/>
        <item x="2"/>
        <item x="33"/>
        <item x="368"/>
        <item x="170"/>
        <item x="484"/>
        <item x="144"/>
        <item x="218"/>
        <item x="310"/>
        <item x="392"/>
        <item x="215"/>
        <item x="445"/>
        <item x="257"/>
        <item x="178"/>
        <item x="350"/>
        <item x="180"/>
        <item x="296"/>
        <item x="377"/>
        <item x="173"/>
        <item x="276"/>
        <item x="444"/>
        <item x="352"/>
        <item x="493"/>
        <item x="340"/>
        <item x="518"/>
        <item x="236"/>
        <item x="307"/>
        <item x="208"/>
        <item x="454"/>
        <item x="262"/>
        <item x="338"/>
        <item x="287"/>
        <item x="359"/>
        <item x="492"/>
        <item x="490"/>
        <item x="53"/>
        <item x="303"/>
        <item x="342"/>
        <item x="200"/>
        <item x="452"/>
        <item x="474"/>
        <item x="441"/>
        <item x="231"/>
        <item x="363"/>
        <item x="119"/>
        <item x="419"/>
        <item x="393"/>
        <item x="494"/>
        <item x="223"/>
        <item x="418"/>
        <item x="266"/>
        <item x="349"/>
        <item x="428"/>
        <item x="41"/>
        <item x="432"/>
        <item x="344"/>
        <item x="217"/>
        <item x="269"/>
        <item x="323"/>
        <item x="30"/>
        <item x="250"/>
        <item x="470"/>
        <item x="16"/>
        <item x="316"/>
        <item x="260"/>
        <item x="295"/>
        <item x="143"/>
        <item x="246"/>
        <item x="327"/>
        <item x="199"/>
        <item x="376"/>
        <item x="311"/>
        <item x="5"/>
        <item x="134"/>
        <item x="308"/>
        <item x="345"/>
        <item x="481"/>
        <item x="358"/>
        <item x="512"/>
        <item x="329"/>
        <item x="258"/>
        <item x="158"/>
        <item x="141"/>
        <item x="321"/>
        <item x="313"/>
        <item x="477"/>
        <item x="429"/>
        <item x="351"/>
        <item x="471"/>
        <item x="6"/>
        <item x="294"/>
        <item x="318"/>
        <item x="52"/>
        <item x="7"/>
        <item x="480"/>
        <item x="469"/>
        <item x="120"/>
        <item x="112"/>
        <item x="360"/>
        <item x="256"/>
        <item x="265"/>
        <item x="433"/>
        <item x="417"/>
        <item x="140"/>
        <item x="286"/>
        <item x="32"/>
        <item x="482"/>
        <item x="31"/>
        <item x="253"/>
        <item x="252"/>
        <item x="160"/>
        <item x="465"/>
        <item x="1"/>
        <item x="519"/>
        <item x="115"/>
        <item x="464"/>
        <item x="35"/>
        <item x="8"/>
        <item x="159"/>
        <item x="9"/>
        <item t="default"/>
      </items>
    </pivotField>
    <pivotField showAll="0">
      <items count="5">
        <item x="1"/>
        <item x="0"/>
        <item x="2"/>
        <item x="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Avg_ %_change" fld="7" subtotal="average" baseField="3" baseItem="0" numFmtId="2"/>
  </dataFields>
  <formats count="12">
    <format dxfId="941">
      <pivotArea type="all" dataOnly="0" outline="0" fieldPosition="0"/>
    </format>
    <format dxfId="940">
      <pivotArea outline="0" collapsedLevelsAreSubtotals="1" fieldPosition="0"/>
    </format>
    <format dxfId="939">
      <pivotArea field="3" type="button" dataOnly="0" labelOnly="1" outline="0" axis="axisRow" fieldPosition="0"/>
    </format>
    <format dxfId="938">
      <pivotArea dataOnly="0" labelOnly="1" fieldPosition="0">
        <references count="1">
          <reference field="3" count="0"/>
        </references>
      </pivotArea>
    </format>
    <format dxfId="937">
      <pivotArea dataOnly="0" labelOnly="1" grandRow="1" outline="0" fieldPosition="0"/>
    </format>
    <format dxfId="936">
      <pivotArea dataOnly="0" labelOnly="1" outline="0" axis="axisValues" fieldPosition="0"/>
    </format>
    <format dxfId="935">
      <pivotArea type="all" dataOnly="0" outline="0" fieldPosition="0"/>
    </format>
    <format dxfId="934">
      <pivotArea outline="0" collapsedLevelsAreSubtotals="1" fieldPosition="0"/>
    </format>
    <format dxfId="933">
      <pivotArea field="3" type="button" dataOnly="0" labelOnly="1" outline="0" axis="axisRow" fieldPosition="0"/>
    </format>
    <format dxfId="932">
      <pivotArea dataOnly="0" labelOnly="1" fieldPosition="0">
        <references count="1">
          <reference field="3" count="0"/>
        </references>
      </pivotArea>
    </format>
    <format dxfId="931">
      <pivotArea dataOnly="0" labelOnly="1" grandRow="1" outline="0" fieldPosition="0"/>
    </format>
    <format dxfId="930">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3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rowHeaderCaption="Quarter">
  <location ref="H2:I960" firstHeaderRow="1" firstDataRow="1" firstDataCol="1"/>
  <pivotFields count="9">
    <pivotField numFmtId="14" showAll="0">
      <items count="6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t="default"/>
      </items>
    </pivotField>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 axis="axisRow" showAll="0">
      <items count="13">
        <item x="0"/>
        <item x="1"/>
        <item x="2"/>
        <item x="3"/>
        <item x="4"/>
        <item x="5"/>
        <item x="6"/>
        <item x="7"/>
        <item x="8"/>
        <item x="9"/>
        <item x="10"/>
        <item x="11"/>
        <item t="default"/>
      </items>
    </pivotField>
    <pivotField axis="axisRow" showAl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dataField="1" numFmtId="2" showAll="0">
      <items count="579">
        <item x="0"/>
        <item x="1"/>
        <item x="2"/>
        <item x="3"/>
        <item x="4"/>
        <item x="5"/>
        <item x="6"/>
        <item x="7"/>
        <item x="8"/>
        <item x="117"/>
        <item x="11"/>
        <item x="12"/>
        <item x="252"/>
        <item x="13"/>
        <item x="14"/>
        <item x="15"/>
        <item x="10"/>
        <item x="254"/>
        <item x="253"/>
        <item x="16"/>
        <item x="17"/>
        <item x="116"/>
        <item x="251"/>
        <item x="18"/>
        <item x="114"/>
        <item x="142"/>
        <item x="20"/>
        <item x="246"/>
        <item x="248"/>
        <item x="19"/>
        <item x="143"/>
        <item x="21"/>
        <item x="113"/>
        <item x="23"/>
        <item x="22"/>
        <item x="247"/>
        <item x="24"/>
        <item x="25"/>
        <item x="26"/>
        <item x="27"/>
        <item x="28"/>
        <item x="29"/>
        <item x="9"/>
        <item x="141"/>
        <item x="243"/>
        <item x="255"/>
        <item x="30"/>
        <item x="250"/>
        <item x="244"/>
        <item x="198"/>
        <item x="118"/>
        <item x="115"/>
        <item x="195"/>
        <item x="197"/>
        <item x="249"/>
        <item x="120"/>
        <item x="245"/>
        <item x="119"/>
        <item x="242"/>
        <item x="196"/>
        <item x="121"/>
        <item x="139"/>
        <item x="31"/>
        <item x="140"/>
        <item x="144"/>
        <item x="136"/>
        <item x="241"/>
        <item x="199"/>
        <item x="194"/>
        <item x="161"/>
        <item x="138"/>
        <item x="122"/>
        <item x="135"/>
        <item x="256"/>
        <item x="192"/>
        <item x="112"/>
        <item x="205"/>
        <item x="257"/>
        <item x="212"/>
        <item x="214"/>
        <item x="203"/>
        <item x="137"/>
        <item x="200"/>
        <item x="191"/>
        <item x="146"/>
        <item x="258"/>
        <item x="134"/>
        <item x="145"/>
        <item x="193"/>
        <item x="159"/>
        <item x="160"/>
        <item x="133"/>
        <item x="215"/>
        <item x="213"/>
        <item x="152"/>
        <item x="206"/>
        <item x="202"/>
        <item x="204"/>
        <item x="240"/>
        <item x="162"/>
        <item x="187"/>
        <item x="124"/>
        <item x="208"/>
        <item x="211"/>
        <item x="177"/>
        <item x="207"/>
        <item x="179"/>
        <item x="32"/>
        <item x="190"/>
        <item x="178"/>
        <item x="150"/>
        <item x="151"/>
        <item x="218"/>
        <item x="125"/>
        <item x="217"/>
        <item x="216"/>
        <item x="232"/>
        <item x="201"/>
        <item x="126"/>
        <item x="234"/>
        <item x="171"/>
        <item x="149"/>
        <item x="147"/>
        <item x="123"/>
        <item x="169"/>
        <item x="188"/>
        <item x="158"/>
        <item x="131"/>
        <item x="235"/>
        <item x="154"/>
        <item x="127"/>
        <item x="153"/>
        <item x="210"/>
        <item x="189"/>
        <item x="170"/>
        <item x="222"/>
        <item x="288"/>
        <item x="132"/>
        <item x="180"/>
        <item x="209"/>
        <item x="237"/>
        <item x="287"/>
        <item x="236"/>
        <item x="128"/>
        <item x="130"/>
        <item x="186"/>
        <item x="259"/>
        <item x="172"/>
        <item x="221"/>
        <item x="239"/>
        <item x="289"/>
        <item x="148"/>
        <item x="231"/>
        <item x="155"/>
        <item x="173"/>
        <item x="233"/>
        <item x="219"/>
        <item x="181"/>
        <item x="223"/>
        <item x="157"/>
        <item x="129"/>
        <item x="290"/>
        <item x="238"/>
        <item x="174"/>
        <item x="185"/>
        <item x="184"/>
        <item x="183"/>
        <item x="260"/>
        <item x="156"/>
        <item x="230"/>
        <item x="224"/>
        <item x="220"/>
        <item x="286"/>
        <item x="33"/>
        <item x="176"/>
        <item x="182"/>
        <item x="507"/>
        <item x="175"/>
        <item x="262"/>
        <item x="34"/>
        <item x="225"/>
        <item x="227"/>
        <item x="35"/>
        <item x="168"/>
        <item x="261"/>
        <item x="229"/>
        <item x="268"/>
        <item x="226"/>
        <item x="228"/>
        <item x="291"/>
        <item x="263"/>
        <item x="294"/>
        <item x="299"/>
        <item x="111"/>
        <item x="283"/>
        <item x="279"/>
        <item x="264"/>
        <item x="276"/>
        <item x="285"/>
        <item x="265"/>
        <item x="292"/>
        <item x="304"/>
        <item x="293"/>
        <item x="280"/>
        <item x="295"/>
        <item x="284"/>
        <item x="277"/>
        <item x="305"/>
        <item x="167"/>
        <item x="104"/>
        <item x="105"/>
        <item x="163"/>
        <item x="110"/>
        <item x="99"/>
        <item x="103"/>
        <item x="296"/>
        <item x="98"/>
        <item x="309"/>
        <item x="282"/>
        <item x="107"/>
        <item x="106"/>
        <item x="269"/>
        <item x="266"/>
        <item x="278"/>
        <item x="267"/>
        <item x="298"/>
        <item x="281"/>
        <item x="100"/>
        <item x="97"/>
        <item x="102"/>
        <item x="108"/>
        <item x="101"/>
        <item x="96"/>
        <item x="300"/>
        <item x="306"/>
        <item x="93"/>
        <item x="94"/>
        <item x="271"/>
        <item x="297"/>
        <item x="78"/>
        <item x="95"/>
        <item x="307"/>
        <item x="109"/>
        <item x="86"/>
        <item x="310"/>
        <item x="87"/>
        <item x="92"/>
        <item x="77"/>
        <item x="311"/>
        <item x="85"/>
        <item x="88"/>
        <item x="272"/>
        <item x="80"/>
        <item x="91"/>
        <item x="89"/>
        <item x="90"/>
        <item x="84"/>
        <item x="270"/>
        <item x="308"/>
        <item x="79"/>
        <item x="457"/>
        <item x="81"/>
        <item x="312"/>
        <item x="83"/>
        <item x="66"/>
        <item x="303"/>
        <item x="508"/>
        <item x="82"/>
        <item x="76"/>
        <item x="301"/>
        <item x="458"/>
        <item x="166"/>
        <item x="314"/>
        <item x="313"/>
        <item x="274"/>
        <item x="75"/>
        <item x="67"/>
        <item x="273"/>
        <item x="506"/>
        <item x="65"/>
        <item x="275"/>
        <item x="71"/>
        <item x="164"/>
        <item x="57"/>
        <item x="69"/>
        <item x="49"/>
        <item x="74"/>
        <item x="302"/>
        <item x="70"/>
        <item x="48"/>
        <item x="68"/>
        <item x="72"/>
        <item x="36"/>
        <item x="58"/>
        <item x="315"/>
        <item x="316"/>
        <item x="73"/>
        <item x="59"/>
        <item x="60"/>
        <item x="38"/>
        <item x="56"/>
        <item x="165"/>
        <item x="61"/>
        <item x="37"/>
        <item x="64"/>
        <item x="47"/>
        <item x="63"/>
        <item x="39"/>
        <item x="318"/>
        <item x="62"/>
        <item x="55"/>
        <item x="456"/>
        <item x="45"/>
        <item x="44"/>
        <item x="46"/>
        <item x="40"/>
        <item x="459"/>
        <item x="50"/>
        <item x="317"/>
        <item x="54"/>
        <item x="319"/>
        <item x="53"/>
        <item x="43"/>
        <item x="324"/>
        <item x="509"/>
        <item x="42"/>
        <item x="52"/>
        <item x="513"/>
        <item x="51"/>
        <item x="512"/>
        <item x="41"/>
        <item x="372"/>
        <item x="321"/>
        <item x="374"/>
        <item x="510"/>
        <item x="320"/>
        <item x="323"/>
        <item x="514"/>
        <item x="325"/>
        <item x="455"/>
        <item x="511"/>
        <item x="373"/>
        <item x="462"/>
        <item x="326"/>
        <item x="463"/>
        <item x="464"/>
        <item x="466"/>
        <item x="452"/>
        <item x="460"/>
        <item x="473"/>
        <item x="453"/>
        <item x="375"/>
        <item x="322"/>
        <item x="454"/>
        <item x="445"/>
        <item x="474"/>
        <item x="461"/>
        <item x="329"/>
        <item x="515"/>
        <item x="465"/>
        <item x="472"/>
        <item x="475"/>
        <item x="376"/>
        <item x="328"/>
        <item x="470"/>
        <item x="327"/>
        <item x="471"/>
        <item x="467"/>
        <item x="447"/>
        <item x="476"/>
        <item x="505"/>
        <item x="349"/>
        <item x="468"/>
        <item x="516"/>
        <item x="330"/>
        <item x="491"/>
        <item x="371"/>
        <item x="451"/>
        <item x="469"/>
        <item x="446"/>
        <item x="477"/>
        <item x="335"/>
        <item x="331"/>
        <item x="336"/>
        <item x="492"/>
        <item x="501"/>
        <item x="448"/>
        <item x="350"/>
        <item x="499"/>
        <item x="346"/>
        <item x="575"/>
        <item x="347"/>
        <item x="377"/>
        <item x="334"/>
        <item x="574"/>
        <item x="338"/>
        <item x="497"/>
        <item x="478"/>
        <item x="500"/>
        <item x="573"/>
        <item x="502"/>
        <item x="517"/>
        <item x="351"/>
        <item x="444"/>
        <item x="568"/>
        <item x="339"/>
        <item x="348"/>
        <item x="493"/>
        <item x="479"/>
        <item x="450"/>
        <item x="498"/>
        <item x="504"/>
        <item x="333"/>
        <item x="332"/>
        <item x="345"/>
        <item x="490"/>
        <item x="337"/>
        <item x="449"/>
        <item x="519"/>
        <item x="567"/>
        <item x="503"/>
        <item x="481"/>
        <item x="572"/>
        <item x="494"/>
        <item x="518"/>
        <item x="482"/>
        <item x="571"/>
        <item x="576"/>
        <item x="379"/>
        <item x="352"/>
        <item x="353"/>
        <item x="565"/>
        <item x="480"/>
        <item x="520"/>
        <item x="496"/>
        <item x="570"/>
        <item x="564"/>
        <item x="569"/>
        <item x="340"/>
        <item x="354"/>
        <item x="566"/>
        <item x="342"/>
        <item x="381"/>
        <item x="495"/>
        <item x="341"/>
        <item x="483"/>
        <item x="523"/>
        <item x="378"/>
        <item x="356"/>
        <item x="487"/>
        <item x="380"/>
        <item x="521"/>
        <item x="344"/>
        <item x="485"/>
        <item x="562"/>
        <item x="563"/>
        <item x="560"/>
        <item x="343"/>
        <item x="486"/>
        <item x="370"/>
        <item x="524"/>
        <item x="527"/>
        <item x="545"/>
        <item x="522"/>
        <item x="484"/>
        <item x="355"/>
        <item x="561"/>
        <item x="382"/>
        <item x="544"/>
        <item x="391"/>
        <item x="390"/>
        <item x="386"/>
        <item x="384"/>
        <item x="488"/>
        <item x="389"/>
        <item x="551"/>
        <item x="392"/>
        <item x="393"/>
        <item x="542"/>
        <item x="489"/>
        <item x="357"/>
        <item x="443"/>
        <item x="385"/>
        <item x="383"/>
        <item x="552"/>
        <item x="539"/>
        <item x="559"/>
        <item x="546"/>
        <item x="387"/>
        <item x="526"/>
        <item x="541"/>
        <item x="540"/>
        <item x="553"/>
        <item x="557"/>
        <item x="550"/>
        <item x="556"/>
        <item x="394"/>
        <item x="358"/>
        <item x="525"/>
        <item x="543"/>
        <item x="558"/>
        <item x="554"/>
        <item x="528"/>
        <item x="388"/>
        <item x="395"/>
        <item x="547"/>
        <item x="442"/>
        <item x="538"/>
        <item x="577"/>
        <item x="555"/>
        <item x="536"/>
        <item x="549"/>
        <item x="360"/>
        <item x="396"/>
        <item x="537"/>
        <item x="361"/>
        <item x="414"/>
        <item x="359"/>
        <item x="548"/>
        <item x="397"/>
        <item x="362"/>
        <item x="529"/>
        <item x="441"/>
        <item x="535"/>
        <item x="415"/>
        <item x="398"/>
        <item x="424"/>
        <item x="425"/>
        <item x="369"/>
        <item x="426"/>
        <item x="406"/>
        <item x="440"/>
        <item x="404"/>
        <item x="405"/>
        <item x="419"/>
        <item x="420"/>
        <item x="363"/>
        <item x="433"/>
        <item x="423"/>
        <item x="431"/>
        <item x="418"/>
        <item x="531"/>
        <item x="435"/>
        <item x="413"/>
        <item x="408"/>
        <item x="434"/>
        <item x="436"/>
        <item x="534"/>
        <item x="421"/>
        <item x="439"/>
        <item x="427"/>
        <item x="416"/>
        <item x="407"/>
        <item x="430"/>
        <item x="432"/>
        <item x="437"/>
        <item x="402"/>
        <item x="417"/>
        <item x="409"/>
        <item x="422"/>
        <item x="403"/>
        <item x="401"/>
        <item x="428"/>
        <item x="438"/>
        <item x="399"/>
        <item x="429"/>
        <item x="364"/>
        <item x="532"/>
        <item x="530"/>
        <item x="410"/>
        <item x="412"/>
        <item x="368"/>
        <item x="400"/>
        <item x="533"/>
        <item x="411"/>
        <item x="365"/>
        <item x="366"/>
        <item x="367"/>
        <item t="default"/>
      </items>
    </pivotField>
    <pivotField showAll="0"/>
    <pivotField showAll="0">
      <items count="521">
        <item x="462"/>
        <item x="109"/>
        <item x="463"/>
        <item x="355"/>
        <item x="356"/>
        <item x="357"/>
        <item x="416"/>
        <item x="271"/>
        <item x="415"/>
        <item x="110"/>
        <item x="165"/>
        <item x="114"/>
        <item x="449"/>
        <item x="426"/>
        <item x="10"/>
        <item x="281"/>
        <item x="163"/>
        <item x="298"/>
        <item x="425"/>
        <item x="264"/>
        <item x="175"/>
        <item x="353"/>
        <item x="113"/>
        <item x="164"/>
        <item x="334"/>
        <item x="461"/>
        <item x="450"/>
        <item x="354"/>
        <item x="391"/>
        <item x="249"/>
        <item x="337"/>
        <item x="239"/>
        <item x="228"/>
        <item x="421"/>
        <item x="243"/>
        <item x="293"/>
        <item x="489"/>
        <item x="456"/>
        <item x="414"/>
        <item x="238"/>
        <item x="248"/>
        <item x="413"/>
        <item x="369"/>
        <item x="314"/>
        <item x="491"/>
        <item x="485"/>
        <item x="137"/>
        <item x="162"/>
        <item x="282"/>
        <item x="196"/>
        <item x="302"/>
        <item x="155"/>
        <item x="479"/>
        <item x="496"/>
        <item x="486"/>
        <item x="390"/>
        <item x="424"/>
        <item x="274"/>
        <item x="487"/>
        <item x="278"/>
        <item x="483"/>
        <item x="195"/>
        <item x="157"/>
        <item x="67"/>
        <item x="219"/>
        <item x="297"/>
        <item x="510"/>
        <item x="230"/>
        <item x="232"/>
        <item x="499"/>
        <item x="211"/>
        <item x="108"/>
        <item x="315"/>
        <item x="503"/>
        <item x="154"/>
        <item x="378"/>
        <item x="138"/>
        <item x="241"/>
        <item x="381"/>
        <item x="50"/>
        <item x="335"/>
        <item x="133"/>
        <item x="205"/>
        <item x="191"/>
        <item x="467"/>
        <item x="68"/>
        <item x="361"/>
        <item x="507"/>
        <item x="434"/>
        <item x="130"/>
        <item x="457"/>
        <item x="502"/>
        <item x="145"/>
        <item x="251"/>
        <item x="240"/>
        <item x="184"/>
        <item x="111"/>
        <item x="210"/>
        <item x="59"/>
        <item x="324"/>
        <item x="11"/>
        <item x="320"/>
        <item x="136"/>
        <item x="135"/>
        <item x="325"/>
        <item x="309"/>
        <item x="229"/>
        <item x="225"/>
        <item x="185"/>
        <item x="79"/>
        <item x="203"/>
        <item x="411"/>
        <item x="267"/>
        <item x="237"/>
        <item x="399"/>
        <item x="343"/>
        <item x="56"/>
        <item x="169"/>
        <item x="289"/>
        <item x="60"/>
        <item x="362"/>
        <item x="121"/>
        <item x="44"/>
        <item x="148"/>
        <item x="328"/>
        <item x="129"/>
        <item x="49"/>
        <item x="436"/>
        <item x="77"/>
        <item x="412"/>
        <item x="442"/>
        <item x="103"/>
        <item x="514"/>
        <item x="126"/>
        <item x="186"/>
        <item x="247"/>
        <item x="190"/>
        <item x="132"/>
        <item x="153"/>
        <item x="94"/>
        <item x="400"/>
        <item x="193"/>
        <item x="389"/>
        <item x="365"/>
        <item x="495"/>
        <item x="37"/>
        <item x="511"/>
        <item x="259"/>
        <item x="58"/>
        <item x="174"/>
        <item x="405"/>
        <item x="181"/>
        <item x="366"/>
        <item x="99"/>
        <item x="410"/>
        <item x="220"/>
        <item x="127"/>
        <item x="76"/>
        <item x="182"/>
        <item x="80"/>
        <item x="395"/>
        <item x="292"/>
        <item x="404"/>
        <item x="478"/>
        <item x="78"/>
        <item x="455"/>
        <item x="198"/>
        <item x="42"/>
        <item x="508"/>
        <item x="280"/>
        <item x="505"/>
        <item x="447"/>
        <item x="396"/>
        <item x="146"/>
        <item x="277"/>
        <item x="176"/>
        <item x="379"/>
        <item x="346"/>
        <item x="446"/>
        <item x="420"/>
        <item x="86"/>
        <item x="43"/>
        <item x="97"/>
        <item x="468"/>
        <item x="227"/>
        <item x="245"/>
        <item x="73"/>
        <item x="87"/>
        <item x="189"/>
        <item x="93"/>
        <item x="472"/>
        <item x="54"/>
        <item x="513"/>
        <item x="88"/>
        <item x="209"/>
        <item x="370"/>
        <item x="312"/>
        <item x="46"/>
        <item x="82"/>
        <item x="385"/>
        <item x="515"/>
        <item x="104"/>
        <item x="66"/>
        <item x="131"/>
        <item x="516"/>
        <item x="383"/>
        <item x="117"/>
        <item x="283"/>
        <item x="333"/>
        <item x="71"/>
        <item x="142"/>
        <item x="57"/>
        <item x="65"/>
        <item x="407"/>
        <item x="98"/>
        <item x="45"/>
        <item x="319"/>
        <item x="216"/>
        <item x="331"/>
        <item x="20"/>
        <item x="51"/>
        <item x="166"/>
        <item x="183"/>
        <item x="500"/>
        <item x="150"/>
        <item x="235"/>
        <item x="371"/>
        <item x="102"/>
        <item x="23"/>
        <item x="48"/>
        <item x="106"/>
        <item x="0"/>
        <item x="397"/>
        <item x="506"/>
        <item x="55"/>
        <item x="27"/>
        <item x="14"/>
        <item x="92"/>
        <item x="341"/>
        <item x="24"/>
        <item x="147"/>
        <item x="156"/>
        <item x="25"/>
        <item x="15"/>
        <item x="26"/>
        <item x="382"/>
        <item x="304"/>
        <item x="372"/>
        <item x="28"/>
        <item x="22"/>
        <item x="72"/>
        <item x="401"/>
        <item x="90"/>
        <item x="85"/>
        <item x="96"/>
        <item x="95"/>
        <item x="17"/>
        <item x="408"/>
        <item x="89"/>
        <item x="409"/>
        <item x="261"/>
        <item x="123"/>
        <item x="101"/>
        <item x="288"/>
        <item x="75"/>
        <item x="394"/>
        <item x="263"/>
        <item x="192"/>
        <item x="330"/>
        <item x="443"/>
        <item x="91"/>
        <item x="13"/>
        <item x="254"/>
        <item x="422"/>
        <item x="47"/>
        <item x="347"/>
        <item x="177"/>
        <item x="62"/>
        <item x="21"/>
        <item x="423"/>
        <item x="38"/>
        <item x="128"/>
        <item x="188"/>
        <item x="171"/>
        <item x="84"/>
        <item x="431"/>
        <item x="3"/>
        <item x="244"/>
        <item x="448"/>
        <item x="34"/>
        <item x="63"/>
        <item x="168"/>
        <item x="380"/>
        <item x="299"/>
        <item x="234"/>
        <item x="255"/>
        <item x="475"/>
        <item x="83"/>
        <item x="440"/>
        <item x="504"/>
        <item x="213"/>
        <item x="167"/>
        <item x="233"/>
        <item x="212"/>
        <item x="488"/>
        <item x="105"/>
        <item x="398"/>
        <item x="300"/>
        <item x="61"/>
        <item x="435"/>
        <item x="326"/>
        <item x="501"/>
        <item x="497"/>
        <item x="18"/>
        <item x="197"/>
        <item x="406"/>
        <item x="29"/>
        <item x="386"/>
        <item x="403"/>
        <item x="275"/>
        <item x="124"/>
        <item x="116"/>
        <item x="107"/>
        <item x="139"/>
        <item x="122"/>
        <item x="305"/>
        <item x="270"/>
        <item x="348"/>
        <item x="374"/>
        <item x="272"/>
        <item x="12"/>
        <item x="207"/>
        <item x="64"/>
        <item x="437"/>
        <item x="74"/>
        <item x="466"/>
        <item x="509"/>
        <item x="284"/>
        <item x="373"/>
        <item x="36"/>
        <item x="172"/>
        <item x="118"/>
        <item x="517"/>
        <item x="100"/>
        <item x="498"/>
        <item x="439"/>
        <item x="204"/>
        <item x="301"/>
        <item x="430"/>
        <item x="214"/>
        <item x="268"/>
        <item x="194"/>
        <item x="242"/>
        <item x="290"/>
        <item x="279"/>
        <item x="458"/>
        <item x="202"/>
        <item x="427"/>
        <item x="149"/>
        <item x="285"/>
        <item x="317"/>
        <item x="453"/>
        <item x="222"/>
        <item x="39"/>
        <item x="388"/>
        <item x="322"/>
        <item x="69"/>
        <item x="179"/>
        <item x="306"/>
        <item x="70"/>
        <item x="364"/>
        <item x="438"/>
        <item x="125"/>
        <item x="81"/>
        <item x="451"/>
        <item x="460"/>
        <item x="336"/>
        <item x="40"/>
        <item x="273"/>
        <item x="19"/>
        <item x="152"/>
        <item x="387"/>
        <item x="339"/>
        <item x="151"/>
        <item x="201"/>
        <item x="459"/>
        <item x="473"/>
        <item x="161"/>
        <item x="226"/>
        <item x="187"/>
        <item x="402"/>
        <item x="384"/>
        <item x="291"/>
        <item x="375"/>
        <item x="4"/>
        <item x="476"/>
        <item x="221"/>
        <item x="206"/>
        <item x="367"/>
        <item x="224"/>
        <item x="332"/>
        <item x="2"/>
        <item x="33"/>
        <item x="368"/>
        <item x="170"/>
        <item x="484"/>
        <item x="144"/>
        <item x="218"/>
        <item x="310"/>
        <item x="392"/>
        <item x="215"/>
        <item x="445"/>
        <item x="257"/>
        <item x="178"/>
        <item x="350"/>
        <item x="180"/>
        <item x="296"/>
        <item x="377"/>
        <item x="173"/>
        <item x="276"/>
        <item x="444"/>
        <item x="352"/>
        <item x="493"/>
        <item x="340"/>
        <item x="518"/>
        <item x="236"/>
        <item x="307"/>
        <item x="208"/>
        <item x="454"/>
        <item x="262"/>
        <item x="338"/>
        <item x="287"/>
        <item x="359"/>
        <item x="492"/>
        <item x="490"/>
        <item x="53"/>
        <item x="303"/>
        <item x="342"/>
        <item x="200"/>
        <item x="452"/>
        <item x="474"/>
        <item x="441"/>
        <item x="231"/>
        <item x="363"/>
        <item x="119"/>
        <item x="419"/>
        <item x="393"/>
        <item x="494"/>
        <item x="223"/>
        <item x="418"/>
        <item x="266"/>
        <item x="349"/>
        <item x="428"/>
        <item x="41"/>
        <item x="432"/>
        <item x="344"/>
        <item x="217"/>
        <item x="269"/>
        <item x="323"/>
        <item x="30"/>
        <item x="250"/>
        <item x="470"/>
        <item x="16"/>
        <item x="316"/>
        <item x="260"/>
        <item x="295"/>
        <item x="143"/>
        <item x="246"/>
        <item x="327"/>
        <item x="199"/>
        <item x="376"/>
        <item x="311"/>
        <item x="5"/>
        <item x="134"/>
        <item x="308"/>
        <item x="345"/>
        <item x="481"/>
        <item x="358"/>
        <item x="512"/>
        <item x="329"/>
        <item x="258"/>
        <item x="158"/>
        <item x="141"/>
        <item x="321"/>
        <item x="313"/>
        <item x="477"/>
        <item x="429"/>
        <item x="351"/>
        <item x="471"/>
        <item x="6"/>
        <item x="294"/>
        <item x="318"/>
        <item x="52"/>
        <item x="7"/>
        <item x="480"/>
        <item x="469"/>
        <item x="120"/>
        <item x="112"/>
        <item x="360"/>
        <item x="256"/>
        <item x="265"/>
        <item x="433"/>
        <item x="417"/>
        <item x="140"/>
        <item x="286"/>
        <item x="32"/>
        <item x="482"/>
        <item x="31"/>
        <item x="253"/>
        <item x="252"/>
        <item x="160"/>
        <item x="465"/>
        <item x="1"/>
        <item x="519"/>
        <item x="115"/>
        <item x="464"/>
        <item x="35"/>
        <item x="8"/>
        <item x="159"/>
        <item x="9"/>
        <item t="default"/>
      </items>
    </pivotField>
    <pivotField showAll="0" sortType="ascending">
      <items count="5">
        <item x="1"/>
        <item x="0"/>
        <item x="2"/>
        <item x="3"/>
        <item t="default"/>
      </items>
    </pivotField>
  </pivotFields>
  <rowFields count="3">
    <field x="4"/>
    <field x="1"/>
    <field x="3"/>
  </rowFields>
  <rowItems count="958">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x v="2"/>
    </i>
    <i r="1">
      <x/>
    </i>
    <i r="2">
      <x/>
    </i>
    <i r="2">
      <x v="1"/>
    </i>
    <i r="2">
      <x v="2"/>
    </i>
    <i r="1">
      <x v="1"/>
    </i>
    <i r="2">
      <x v="3"/>
    </i>
    <i r="2">
      <x v="4"/>
    </i>
    <i r="2">
      <x v="5"/>
    </i>
    <i r="1">
      <x v="2"/>
    </i>
    <i r="2">
      <x v="6"/>
    </i>
    <i r="2">
      <x v="7"/>
    </i>
    <i r="2">
      <x v="8"/>
    </i>
    <i r="1">
      <x v="3"/>
    </i>
    <i r="2">
      <x v="9"/>
    </i>
    <i r="2">
      <x v="10"/>
    </i>
    <i r="2">
      <x v="11"/>
    </i>
    <i>
      <x v="3"/>
    </i>
    <i r="1">
      <x/>
    </i>
    <i r="2">
      <x/>
    </i>
    <i r="2">
      <x v="1"/>
    </i>
    <i r="2">
      <x v="2"/>
    </i>
    <i r="1">
      <x v="1"/>
    </i>
    <i r="2">
      <x v="3"/>
    </i>
    <i r="2">
      <x v="4"/>
    </i>
    <i r="2">
      <x v="5"/>
    </i>
    <i r="1">
      <x v="2"/>
    </i>
    <i r="2">
      <x v="6"/>
    </i>
    <i r="2">
      <x v="7"/>
    </i>
    <i r="2">
      <x v="8"/>
    </i>
    <i r="1">
      <x v="3"/>
    </i>
    <i r="2">
      <x v="9"/>
    </i>
    <i r="2">
      <x v="10"/>
    </i>
    <i r="2">
      <x v="11"/>
    </i>
    <i>
      <x v="4"/>
    </i>
    <i r="1">
      <x/>
    </i>
    <i r="2">
      <x/>
    </i>
    <i r="2">
      <x v="1"/>
    </i>
    <i r="2">
      <x v="2"/>
    </i>
    <i r="1">
      <x v="1"/>
    </i>
    <i r="2">
      <x v="3"/>
    </i>
    <i r="2">
      <x v="4"/>
    </i>
    <i r="2">
      <x v="5"/>
    </i>
    <i r="1">
      <x v="2"/>
    </i>
    <i r="2">
      <x v="6"/>
    </i>
    <i r="2">
      <x v="7"/>
    </i>
    <i r="2">
      <x v="8"/>
    </i>
    <i r="1">
      <x v="3"/>
    </i>
    <i r="2">
      <x v="9"/>
    </i>
    <i r="2">
      <x v="10"/>
    </i>
    <i r="2">
      <x v="11"/>
    </i>
    <i>
      <x v="5"/>
    </i>
    <i r="1">
      <x/>
    </i>
    <i r="2">
      <x/>
    </i>
    <i r="2">
      <x v="1"/>
    </i>
    <i r="2">
      <x v="2"/>
    </i>
    <i r="1">
      <x v="1"/>
    </i>
    <i r="2">
      <x v="3"/>
    </i>
    <i r="2">
      <x v="4"/>
    </i>
    <i r="2">
      <x v="5"/>
    </i>
    <i r="1">
      <x v="2"/>
    </i>
    <i r="2">
      <x v="6"/>
    </i>
    <i r="2">
      <x v="7"/>
    </i>
    <i r="2">
      <x v="8"/>
    </i>
    <i r="1">
      <x v="3"/>
    </i>
    <i r="2">
      <x v="9"/>
    </i>
    <i r="2">
      <x v="10"/>
    </i>
    <i r="2">
      <x v="11"/>
    </i>
    <i>
      <x v="6"/>
    </i>
    <i r="1">
      <x/>
    </i>
    <i r="2">
      <x/>
    </i>
    <i r="2">
      <x v="1"/>
    </i>
    <i r="2">
      <x v="2"/>
    </i>
    <i r="1">
      <x v="1"/>
    </i>
    <i r="2">
      <x v="3"/>
    </i>
    <i r="2">
      <x v="4"/>
    </i>
    <i r="2">
      <x v="5"/>
    </i>
    <i r="1">
      <x v="2"/>
    </i>
    <i r="2">
      <x v="6"/>
    </i>
    <i r="2">
      <x v="7"/>
    </i>
    <i r="2">
      <x v="8"/>
    </i>
    <i r="1">
      <x v="3"/>
    </i>
    <i r="2">
      <x v="9"/>
    </i>
    <i r="2">
      <x v="10"/>
    </i>
    <i r="2">
      <x v="11"/>
    </i>
    <i>
      <x v="7"/>
    </i>
    <i r="1">
      <x/>
    </i>
    <i r="2">
      <x/>
    </i>
    <i r="2">
      <x v="1"/>
    </i>
    <i r="2">
      <x v="2"/>
    </i>
    <i r="1">
      <x v="1"/>
    </i>
    <i r="2">
      <x v="3"/>
    </i>
    <i r="2">
      <x v="4"/>
    </i>
    <i r="2">
      <x v="5"/>
    </i>
    <i r="1">
      <x v="2"/>
    </i>
    <i r="2">
      <x v="6"/>
    </i>
    <i r="2">
      <x v="7"/>
    </i>
    <i r="2">
      <x v="8"/>
    </i>
    <i r="1">
      <x v="3"/>
    </i>
    <i r="2">
      <x v="9"/>
    </i>
    <i r="2">
      <x v="10"/>
    </i>
    <i r="2">
      <x v="11"/>
    </i>
    <i>
      <x v="8"/>
    </i>
    <i r="1">
      <x/>
    </i>
    <i r="2">
      <x/>
    </i>
    <i r="2">
      <x v="1"/>
    </i>
    <i r="2">
      <x v="2"/>
    </i>
    <i r="1">
      <x v="1"/>
    </i>
    <i r="2">
      <x v="3"/>
    </i>
    <i r="2">
      <x v="4"/>
    </i>
    <i r="2">
      <x v="5"/>
    </i>
    <i r="1">
      <x v="2"/>
    </i>
    <i r="2">
      <x v="6"/>
    </i>
    <i r="2">
      <x v="7"/>
    </i>
    <i r="2">
      <x v="8"/>
    </i>
    <i r="1">
      <x v="3"/>
    </i>
    <i r="2">
      <x v="9"/>
    </i>
    <i r="2">
      <x v="10"/>
    </i>
    <i r="2">
      <x v="11"/>
    </i>
    <i>
      <x v="9"/>
    </i>
    <i r="1">
      <x/>
    </i>
    <i r="2">
      <x/>
    </i>
    <i r="2">
      <x v="1"/>
    </i>
    <i r="2">
      <x v="2"/>
    </i>
    <i r="1">
      <x v="1"/>
    </i>
    <i r="2">
      <x v="3"/>
    </i>
    <i r="2">
      <x v="4"/>
    </i>
    <i r="2">
      <x v="5"/>
    </i>
    <i r="1">
      <x v="2"/>
    </i>
    <i r="2">
      <x v="6"/>
    </i>
    <i r="2">
      <x v="7"/>
    </i>
    <i r="2">
      <x v="8"/>
    </i>
    <i r="1">
      <x v="3"/>
    </i>
    <i r="2">
      <x v="9"/>
    </i>
    <i r="2">
      <x v="10"/>
    </i>
    <i r="2">
      <x v="11"/>
    </i>
    <i>
      <x v="10"/>
    </i>
    <i r="1">
      <x/>
    </i>
    <i r="2">
      <x/>
    </i>
    <i r="2">
      <x v="1"/>
    </i>
    <i r="2">
      <x v="2"/>
    </i>
    <i r="1">
      <x v="1"/>
    </i>
    <i r="2">
      <x v="3"/>
    </i>
    <i r="2">
      <x v="4"/>
    </i>
    <i r="2">
      <x v="5"/>
    </i>
    <i r="1">
      <x v="2"/>
    </i>
    <i r="2">
      <x v="6"/>
    </i>
    <i r="2">
      <x v="7"/>
    </i>
    <i r="2">
      <x v="8"/>
    </i>
    <i r="1">
      <x v="3"/>
    </i>
    <i r="2">
      <x v="9"/>
    </i>
    <i r="2">
      <x v="10"/>
    </i>
    <i r="2">
      <x v="11"/>
    </i>
    <i>
      <x v="11"/>
    </i>
    <i r="1">
      <x/>
    </i>
    <i r="2">
      <x/>
    </i>
    <i r="2">
      <x v="1"/>
    </i>
    <i r="2">
      <x v="2"/>
    </i>
    <i r="1">
      <x v="1"/>
    </i>
    <i r="2">
      <x v="3"/>
    </i>
    <i r="2">
      <x v="4"/>
    </i>
    <i r="2">
      <x v="5"/>
    </i>
    <i r="1">
      <x v="2"/>
    </i>
    <i r="2">
      <x v="6"/>
    </i>
    <i r="2">
      <x v="7"/>
    </i>
    <i r="2">
      <x v="8"/>
    </i>
    <i r="1">
      <x v="3"/>
    </i>
    <i r="2">
      <x v="9"/>
    </i>
    <i r="2">
      <x v="10"/>
    </i>
    <i r="2">
      <x v="11"/>
    </i>
    <i>
      <x v="12"/>
    </i>
    <i r="1">
      <x/>
    </i>
    <i r="2">
      <x/>
    </i>
    <i r="2">
      <x v="1"/>
    </i>
    <i r="2">
      <x v="2"/>
    </i>
    <i r="1">
      <x v="1"/>
    </i>
    <i r="2">
      <x v="3"/>
    </i>
    <i r="2">
      <x v="4"/>
    </i>
    <i r="2">
      <x v="5"/>
    </i>
    <i r="1">
      <x v="2"/>
    </i>
    <i r="2">
      <x v="6"/>
    </i>
    <i r="2">
      <x v="7"/>
    </i>
    <i r="2">
      <x v="8"/>
    </i>
    <i r="1">
      <x v="3"/>
    </i>
    <i r="2">
      <x v="9"/>
    </i>
    <i r="2">
      <x v="10"/>
    </i>
    <i r="2">
      <x v="11"/>
    </i>
    <i>
      <x v="13"/>
    </i>
    <i r="1">
      <x/>
    </i>
    <i r="2">
      <x/>
    </i>
    <i r="2">
      <x v="1"/>
    </i>
    <i r="2">
      <x v="2"/>
    </i>
    <i r="1">
      <x v="1"/>
    </i>
    <i r="2">
      <x v="3"/>
    </i>
    <i r="2">
      <x v="4"/>
    </i>
    <i r="2">
      <x v="5"/>
    </i>
    <i r="1">
      <x v="2"/>
    </i>
    <i r="2">
      <x v="6"/>
    </i>
    <i r="2">
      <x v="7"/>
    </i>
    <i r="2">
      <x v="8"/>
    </i>
    <i r="1">
      <x v="3"/>
    </i>
    <i r="2">
      <x v="9"/>
    </i>
    <i r="2">
      <x v="10"/>
    </i>
    <i r="2">
      <x v="11"/>
    </i>
    <i>
      <x v="14"/>
    </i>
    <i r="1">
      <x/>
    </i>
    <i r="2">
      <x/>
    </i>
    <i r="2">
      <x v="1"/>
    </i>
    <i r="2">
      <x v="2"/>
    </i>
    <i r="1">
      <x v="1"/>
    </i>
    <i r="2">
      <x v="3"/>
    </i>
    <i r="2">
      <x v="4"/>
    </i>
    <i r="2">
      <x v="5"/>
    </i>
    <i r="1">
      <x v="2"/>
    </i>
    <i r="2">
      <x v="6"/>
    </i>
    <i r="2">
      <x v="7"/>
    </i>
    <i r="2">
      <x v="8"/>
    </i>
    <i r="1">
      <x v="3"/>
    </i>
    <i r="2">
      <x v="9"/>
    </i>
    <i r="2">
      <x v="10"/>
    </i>
    <i r="2">
      <x v="11"/>
    </i>
    <i>
      <x v="15"/>
    </i>
    <i r="1">
      <x/>
    </i>
    <i r="2">
      <x/>
    </i>
    <i r="2">
      <x v="1"/>
    </i>
    <i r="2">
      <x v="2"/>
    </i>
    <i r="1">
      <x v="1"/>
    </i>
    <i r="2">
      <x v="3"/>
    </i>
    <i r="2">
      <x v="4"/>
    </i>
    <i r="2">
      <x v="5"/>
    </i>
    <i r="1">
      <x v="2"/>
    </i>
    <i r="2">
      <x v="6"/>
    </i>
    <i r="2">
      <x v="7"/>
    </i>
    <i r="2">
      <x v="8"/>
    </i>
    <i r="1">
      <x v="3"/>
    </i>
    <i r="2">
      <x v="9"/>
    </i>
    <i r="2">
      <x v="10"/>
    </i>
    <i r="2">
      <x v="11"/>
    </i>
    <i>
      <x v="16"/>
    </i>
    <i r="1">
      <x/>
    </i>
    <i r="2">
      <x/>
    </i>
    <i r="2">
      <x v="1"/>
    </i>
    <i r="2">
      <x v="2"/>
    </i>
    <i r="1">
      <x v="1"/>
    </i>
    <i r="2">
      <x v="3"/>
    </i>
    <i r="2">
      <x v="4"/>
    </i>
    <i r="2">
      <x v="5"/>
    </i>
    <i r="1">
      <x v="2"/>
    </i>
    <i r="2">
      <x v="6"/>
    </i>
    <i r="2">
      <x v="7"/>
    </i>
    <i r="2">
      <x v="8"/>
    </i>
    <i r="1">
      <x v="3"/>
    </i>
    <i r="2">
      <x v="9"/>
    </i>
    <i r="2">
      <x v="10"/>
    </i>
    <i r="2">
      <x v="11"/>
    </i>
    <i>
      <x v="17"/>
    </i>
    <i r="1">
      <x/>
    </i>
    <i r="2">
      <x/>
    </i>
    <i r="2">
      <x v="1"/>
    </i>
    <i r="2">
      <x v="2"/>
    </i>
    <i r="1">
      <x v="1"/>
    </i>
    <i r="2">
      <x v="3"/>
    </i>
    <i r="2">
      <x v="4"/>
    </i>
    <i r="2">
      <x v="5"/>
    </i>
    <i r="1">
      <x v="2"/>
    </i>
    <i r="2">
      <x v="6"/>
    </i>
    <i r="2">
      <x v="7"/>
    </i>
    <i r="2">
      <x v="8"/>
    </i>
    <i r="1">
      <x v="3"/>
    </i>
    <i r="2">
      <x v="9"/>
    </i>
    <i r="2">
      <x v="10"/>
    </i>
    <i r="2">
      <x v="11"/>
    </i>
    <i>
      <x v="18"/>
    </i>
    <i r="1">
      <x/>
    </i>
    <i r="2">
      <x/>
    </i>
    <i r="2">
      <x v="1"/>
    </i>
    <i r="2">
      <x v="2"/>
    </i>
    <i r="1">
      <x v="1"/>
    </i>
    <i r="2">
      <x v="3"/>
    </i>
    <i r="2">
      <x v="4"/>
    </i>
    <i r="2">
      <x v="5"/>
    </i>
    <i r="1">
      <x v="2"/>
    </i>
    <i r="2">
      <x v="6"/>
    </i>
    <i r="2">
      <x v="7"/>
    </i>
    <i r="2">
      <x v="8"/>
    </i>
    <i r="1">
      <x v="3"/>
    </i>
    <i r="2">
      <x v="9"/>
    </i>
    <i r="2">
      <x v="10"/>
    </i>
    <i r="2">
      <x v="11"/>
    </i>
    <i>
      <x v="19"/>
    </i>
    <i r="1">
      <x/>
    </i>
    <i r="2">
      <x/>
    </i>
    <i r="2">
      <x v="1"/>
    </i>
    <i r="2">
      <x v="2"/>
    </i>
    <i r="1">
      <x v="1"/>
    </i>
    <i r="2">
      <x v="3"/>
    </i>
    <i r="2">
      <x v="4"/>
    </i>
    <i r="2">
      <x v="5"/>
    </i>
    <i r="1">
      <x v="2"/>
    </i>
    <i r="2">
      <x v="6"/>
    </i>
    <i r="2">
      <x v="7"/>
    </i>
    <i r="2">
      <x v="8"/>
    </i>
    <i r="1">
      <x v="3"/>
    </i>
    <i r="2">
      <x v="9"/>
    </i>
    <i r="2">
      <x v="10"/>
    </i>
    <i r="2">
      <x v="11"/>
    </i>
    <i>
      <x v="20"/>
    </i>
    <i r="1">
      <x/>
    </i>
    <i r="2">
      <x/>
    </i>
    <i r="2">
      <x v="1"/>
    </i>
    <i r="2">
      <x v="2"/>
    </i>
    <i r="1">
      <x v="1"/>
    </i>
    <i r="2">
      <x v="3"/>
    </i>
    <i r="2">
      <x v="4"/>
    </i>
    <i r="2">
      <x v="5"/>
    </i>
    <i r="1">
      <x v="2"/>
    </i>
    <i r="2">
      <x v="6"/>
    </i>
    <i r="2">
      <x v="7"/>
    </i>
    <i r="2">
      <x v="8"/>
    </i>
    <i r="1">
      <x v="3"/>
    </i>
    <i r="2">
      <x v="9"/>
    </i>
    <i r="2">
      <x v="10"/>
    </i>
    <i r="2">
      <x v="11"/>
    </i>
    <i>
      <x v="21"/>
    </i>
    <i r="1">
      <x/>
    </i>
    <i r="2">
      <x/>
    </i>
    <i r="2">
      <x v="1"/>
    </i>
    <i r="2">
      <x v="2"/>
    </i>
    <i r="1">
      <x v="1"/>
    </i>
    <i r="2">
      <x v="3"/>
    </i>
    <i r="2">
      <x v="4"/>
    </i>
    <i r="2">
      <x v="5"/>
    </i>
    <i r="1">
      <x v="2"/>
    </i>
    <i r="2">
      <x v="6"/>
    </i>
    <i r="2">
      <x v="7"/>
    </i>
    <i r="2">
      <x v="8"/>
    </i>
    <i r="1">
      <x v="3"/>
    </i>
    <i r="2">
      <x v="9"/>
    </i>
    <i r="2">
      <x v="10"/>
    </i>
    <i r="2">
      <x v="11"/>
    </i>
    <i>
      <x v="22"/>
    </i>
    <i r="1">
      <x/>
    </i>
    <i r="2">
      <x/>
    </i>
    <i r="2">
      <x v="1"/>
    </i>
    <i r="2">
      <x v="2"/>
    </i>
    <i r="1">
      <x v="1"/>
    </i>
    <i r="2">
      <x v="3"/>
    </i>
    <i r="2">
      <x v="4"/>
    </i>
    <i r="2">
      <x v="5"/>
    </i>
    <i r="1">
      <x v="2"/>
    </i>
    <i r="2">
      <x v="6"/>
    </i>
    <i r="2">
      <x v="7"/>
    </i>
    <i r="2">
      <x v="8"/>
    </i>
    <i r="1">
      <x v="3"/>
    </i>
    <i r="2">
      <x v="9"/>
    </i>
    <i r="2">
      <x v="10"/>
    </i>
    <i r="2">
      <x v="11"/>
    </i>
    <i>
      <x v="23"/>
    </i>
    <i r="1">
      <x/>
    </i>
    <i r="2">
      <x/>
    </i>
    <i r="2">
      <x v="1"/>
    </i>
    <i r="2">
      <x v="2"/>
    </i>
    <i r="1">
      <x v="1"/>
    </i>
    <i r="2">
      <x v="3"/>
    </i>
    <i r="2">
      <x v="4"/>
    </i>
    <i r="2">
      <x v="5"/>
    </i>
    <i r="1">
      <x v="2"/>
    </i>
    <i r="2">
      <x v="6"/>
    </i>
    <i r="2">
      <x v="7"/>
    </i>
    <i r="2">
      <x v="8"/>
    </i>
    <i r="1">
      <x v="3"/>
    </i>
    <i r="2">
      <x v="9"/>
    </i>
    <i r="2">
      <x v="10"/>
    </i>
    <i r="2">
      <x v="11"/>
    </i>
    <i>
      <x v="24"/>
    </i>
    <i r="1">
      <x/>
    </i>
    <i r="2">
      <x/>
    </i>
    <i r="2">
      <x v="1"/>
    </i>
    <i r="2">
      <x v="2"/>
    </i>
    <i r="1">
      <x v="1"/>
    </i>
    <i r="2">
      <x v="3"/>
    </i>
    <i r="2">
      <x v="4"/>
    </i>
    <i r="2">
      <x v="5"/>
    </i>
    <i r="1">
      <x v="2"/>
    </i>
    <i r="2">
      <x v="6"/>
    </i>
    <i r="2">
      <x v="7"/>
    </i>
    <i r="2">
      <x v="8"/>
    </i>
    <i r="1">
      <x v="3"/>
    </i>
    <i r="2">
      <x v="9"/>
    </i>
    <i r="2">
      <x v="10"/>
    </i>
    <i r="2">
      <x v="11"/>
    </i>
    <i>
      <x v="25"/>
    </i>
    <i r="1">
      <x/>
    </i>
    <i r="2">
      <x/>
    </i>
    <i r="2">
      <x v="1"/>
    </i>
    <i r="2">
      <x v="2"/>
    </i>
    <i r="1">
      <x v="1"/>
    </i>
    <i r="2">
      <x v="3"/>
    </i>
    <i r="2">
      <x v="4"/>
    </i>
    <i r="2">
      <x v="5"/>
    </i>
    <i r="1">
      <x v="2"/>
    </i>
    <i r="2">
      <x v="6"/>
    </i>
    <i r="2">
      <x v="7"/>
    </i>
    <i r="2">
      <x v="8"/>
    </i>
    <i r="1">
      <x v="3"/>
    </i>
    <i r="2">
      <x v="9"/>
    </i>
    <i r="2">
      <x v="10"/>
    </i>
    <i r="2">
      <x v="11"/>
    </i>
    <i>
      <x v="26"/>
    </i>
    <i r="1">
      <x/>
    </i>
    <i r="2">
      <x/>
    </i>
    <i r="2">
      <x v="1"/>
    </i>
    <i r="2">
      <x v="2"/>
    </i>
    <i r="1">
      <x v="1"/>
    </i>
    <i r="2">
      <x v="3"/>
    </i>
    <i r="2">
      <x v="4"/>
    </i>
    <i r="2">
      <x v="5"/>
    </i>
    <i r="1">
      <x v="2"/>
    </i>
    <i r="2">
      <x v="6"/>
    </i>
    <i r="2">
      <x v="7"/>
    </i>
    <i r="2">
      <x v="8"/>
    </i>
    <i r="1">
      <x v="3"/>
    </i>
    <i r="2">
      <x v="9"/>
    </i>
    <i r="2">
      <x v="10"/>
    </i>
    <i r="2">
      <x v="11"/>
    </i>
    <i>
      <x v="27"/>
    </i>
    <i r="1">
      <x/>
    </i>
    <i r="2">
      <x/>
    </i>
    <i r="2">
      <x v="1"/>
    </i>
    <i r="2">
      <x v="2"/>
    </i>
    <i r="1">
      <x v="1"/>
    </i>
    <i r="2">
      <x v="3"/>
    </i>
    <i r="2">
      <x v="4"/>
    </i>
    <i r="2">
      <x v="5"/>
    </i>
    <i r="1">
      <x v="2"/>
    </i>
    <i r="2">
      <x v="6"/>
    </i>
    <i r="2">
      <x v="7"/>
    </i>
    <i r="2">
      <x v="8"/>
    </i>
    <i r="1">
      <x v="3"/>
    </i>
    <i r="2">
      <x v="9"/>
    </i>
    <i r="2">
      <x v="10"/>
    </i>
    <i r="2">
      <x v="11"/>
    </i>
    <i>
      <x v="28"/>
    </i>
    <i r="1">
      <x/>
    </i>
    <i r="2">
      <x/>
    </i>
    <i r="2">
      <x v="1"/>
    </i>
    <i r="2">
      <x v="2"/>
    </i>
    <i r="1">
      <x v="1"/>
    </i>
    <i r="2">
      <x v="3"/>
    </i>
    <i r="2">
      <x v="4"/>
    </i>
    <i r="2">
      <x v="5"/>
    </i>
    <i r="1">
      <x v="2"/>
    </i>
    <i r="2">
      <x v="6"/>
    </i>
    <i r="2">
      <x v="7"/>
    </i>
    <i r="2">
      <x v="8"/>
    </i>
    <i r="1">
      <x v="3"/>
    </i>
    <i r="2">
      <x v="9"/>
    </i>
    <i r="2">
      <x v="10"/>
    </i>
    <i r="2">
      <x v="11"/>
    </i>
    <i>
      <x v="29"/>
    </i>
    <i r="1">
      <x/>
    </i>
    <i r="2">
      <x/>
    </i>
    <i r="2">
      <x v="1"/>
    </i>
    <i r="2">
      <x v="2"/>
    </i>
    <i r="1">
      <x v="1"/>
    </i>
    <i r="2">
      <x v="3"/>
    </i>
    <i r="2">
      <x v="4"/>
    </i>
    <i r="2">
      <x v="5"/>
    </i>
    <i r="1">
      <x v="2"/>
    </i>
    <i r="2">
      <x v="6"/>
    </i>
    <i r="2">
      <x v="7"/>
    </i>
    <i r="2">
      <x v="8"/>
    </i>
    <i r="1">
      <x v="3"/>
    </i>
    <i r="2">
      <x v="9"/>
    </i>
    <i r="2">
      <x v="10"/>
    </i>
    <i r="2">
      <x v="11"/>
    </i>
    <i>
      <x v="30"/>
    </i>
    <i r="1">
      <x/>
    </i>
    <i r="2">
      <x/>
    </i>
    <i r="2">
      <x v="1"/>
    </i>
    <i r="2">
      <x v="2"/>
    </i>
    <i r="1">
      <x v="1"/>
    </i>
    <i r="2">
      <x v="3"/>
    </i>
    <i r="2">
      <x v="4"/>
    </i>
    <i r="2">
      <x v="5"/>
    </i>
    <i r="1">
      <x v="2"/>
    </i>
    <i r="2">
      <x v="6"/>
    </i>
    <i r="2">
      <x v="7"/>
    </i>
    <i r="2">
      <x v="8"/>
    </i>
    <i r="1">
      <x v="3"/>
    </i>
    <i r="2">
      <x v="9"/>
    </i>
    <i r="2">
      <x v="10"/>
    </i>
    <i r="2">
      <x v="11"/>
    </i>
    <i>
      <x v="31"/>
    </i>
    <i r="1">
      <x/>
    </i>
    <i r="2">
      <x/>
    </i>
    <i r="2">
      <x v="1"/>
    </i>
    <i r="2">
      <x v="2"/>
    </i>
    <i r="1">
      <x v="1"/>
    </i>
    <i r="2">
      <x v="3"/>
    </i>
    <i r="2">
      <x v="4"/>
    </i>
    <i r="2">
      <x v="5"/>
    </i>
    <i r="1">
      <x v="2"/>
    </i>
    <i r="2">
      <x v="6"/>
    </i>
    <i r="2">
      <x v="7"/>
    </i>
    <i r="2">
      <x v="8"/>
    </i>
    <i r="1">
      <x v="3"/>
    </i>
    <i r="2">
      <x v="9"/>
    </i>
    <i r="2">
      <x v="10"/>
    </i>
    <i r="2">
      <x v="11"/>
    </i>
    <i>
      <x v="32"/>
    </i>
    <i r="1">
      <x/>
    </i>
    <i r="2">
      <x/>
    </i>
    <i r="2">
      <x v="1"/>
    </i>
    <i r="2">
      <x v="2"/>
    </i>
    <i r="1">
      <x v="1"/>
    </i>
    <i r="2">
      <x v="3"/>
    </i>
    <i r="2">
      <x v="4"/>
    </i>
    <i r="2">
      <x v="5"/>
    </i>
    <i r="1">
      <x v="2"/>
    </i>
    <i r="2">
      <x v="6"/>
    </i>
    <i r="2">
      <x v="7"/>
    </i>
    <i r="2">
      <x v="8"/>
    </i>
    <i r="1">
      <x v="3"/>
    </i>
    <i r="2">
      <x v="9"/>
    </i>
    <i r="2">
      <x v="10"/>
    </i>
    <i r="2">
      <x v="11"/>
    </i>
    <i>
      <x v="33"/>
    </i>
    <i r="1">
      <x/>
    </i>
    <i r="2">
      <x/>
    </i>
    <i r="2">
      <x v="1"/>
    </i>
    <i r="2">
      <x v="2"/>
    </i>
    <i r="1">
      <x v="1"/>
    </i>
    <i r="2">
      <x v="3"/>
    </i>
    <i r="2">
      <x v="4"/>
    </i>
    <i r="2">
      <x v="5"/>
    </i>
    <i r="1">
      <x v="2"/>
    </i>
    <i r="2">
      <x v="6"/>
    </i>
    <i r="2">
      <x v="7"/>
    </i>
    <i r="2">
      <x v="8"/>
    </i>
    <i r="1">
      <x v="3"/>
    </i>
    <i r="2">
      <x v="9"/>
    </i>
    <i r="2">
      <x v="10"/>
    </i>
    <i r="2">
      <x v="11"/>
    </i>
    <i>
      <x v="34"/>
    </i>
    <i r="1">
      <x/>
    </i>
    <i r="2">
      <x/>
    </i>
    <i r="2">
      <x v="1"/>
    </i>
    <i r="2">
      <x v="2"/>
    </i>
    <i r="1">
      <x v="1"/>
    </i>
    <i r="2">
      <x v="3"/>
    </i>
    <i r="2">
      <x v="4"/>
    </i>
    <i r="2">
      <x v="5"/>
    </i>
    <i r="1">
      <x v="2"/>
    </i>
    <i r="2">
      <x v="6"/>
    </i>
    <i r="2">
      <x v="7"/>
    </i>
    <i r="2">
      <x v="8"/>
    </i>
    <i r="1">
      <x v="3"/>
    </i>
    <i r="2">
      <x v="9"/>
    </i>
    <i r="2">
      <x v="10"/>
    </i>
    <i r="2">
      <x v="11"/>
    </i>
    <i>
      <x v="35"/>
    </i>
    <i r="1">
      <x/>
    </i>
    <i r="2">
      <x/>
    </i>
    <i r="2">
      <x v="1"/>
    </i>
    <i r="2">
      <x v="2"/>
    </i>
    <i r="1">
      <x v="1"/>
    </i>
    <i r="2">
      <x v="3"/>
    </i>
    <i r="2">
      <x v="4"/>
    </i>
    <i r="2">
      <x v="5"/>
    </i>
    <i r="1">
      <x v="2"/>
    </i>
    <i r="2">
      <x v="6"/>
    </i>
    <i r="2">
      <x v="7"/>
    </i>
    <i r="2">
      <x v="8"/>
    </i>
    <i r="1">
      <x v="3"/>
    </i>
    <i r="2">
      <x v="9"/>
    </i>
    <i r="2">
      <x v="10"/>
    </i>
    <i r="2">
      <x v="11"/>
    </i>
    <i>
      <x v="36"/>
    </i>
    <i r="1">
      <x/>
    </i>
    <i r="2">
      <x/>
    </i>
    <i r="2">
      <x v="1"/>
    </i>
    <i r="2">
      <x v="2"/>
    </i>
    <i r="1">
      <x v="1"/>
    </i>
    <i r="2">
      <x v="3"/>
    </i>
    <i r="2">
      <x v="4"/>
    </i>
    <i r="2">
      <x v="5"/>
    </i>
    <i r="1">
      <x v="2"/>
    </i>
    <i r="2">
      <x v="6"/>
    </i>
    <i r="2">
      <x v="7"/>
    </i>
    <i r="2">
      <x v="8"/>
    </i>
    <i r="1">
      <x v="3"/>
    </i>
    <i r="2">
      <x v="9"/>
    </i>
    <i r="2">
      <x v="10"/>
    </i>
    <i r="2">
      <x v="11"/>
    </i>
    <i>
      <x v="37"/>
    </i>
    <i r="1">
      <x/>
    </i>
    <i r="2">
      <x/>
    </i>
    <i r="2">
      <x v="1"/>
    </i>
    <i r="2">
      <x v="2"/>
    </i>
    <i r="1">
      <x v="1"/>
    </i>
    <i r="2">
      <x v="3"/>
    </i>
    <i r="2">
      <x v="4"/>
    </i>
    <i r="2">
      <x v="5"/>
    </i>
    <i r="1">
      <x v="2"/>
    </i>
    <i r="2">
      <x v="6"/>
    </i>
    <i r="2">
      <x v="7"/>
    </i>
    <i r="2">
      <x v="8"/>
    </i>
    <i r="1">
      <x v="3"/>
    </i>
    <i r="2">
      <x v="9"/>
    </i>
    <i r="2">
      <x v="10"/>
    </i>
    <i r="2">
      <x v="11"/>
    </i>
    <i>
      <x v="38"/>
    </i>
    <i r="1">
      <x/>
    </i>
    <i r="2">
      <x/>
    </i>
    <i r="2">
      <x v="1"/>
    </i>
    <i r="2">
      <x v="2"/>
    </i>
    <i r="1">
      <x v="1"/>
    </i>
    <i r="2">
      <x v="3"/>
    </i>
    <i r="2">
      <x v="4"/>
    </i>
    <i r="2">
      <x v="5"/>
    </i>
    <i r="1">
      <x v="2"/>
    </i>
    <i r="2">
      <x v="6"/>
    </i>
    <i r="2">
      <x v="7"/>
    </i>
    <i r="2">
      <x v="8"/>
    </i>
    <i r="1">
      <x v="3"/>
    </i>
    <i r="2">
      <x v="9"/>
    </i>
    <i r="2">
      <x v="10"/>
    </i>
    <i r="2">
      <x v="11"/>
    </i>
    <i>
      <x v="39"/>
    </i>
    <i r="1">
      <x/>
    </i>
    <i r="2">
      <x/>
    </i>
    <i r="2">
      <x v="1"/>
    </i>
    <i r="2">
      <x v="2"/>
    </i>
    <i r="1">
      <x v="1"/>
    </i>
    <i r="2">
      <x v="3"/>
    </i>
    <i r="2">
      <x v="4"/>
    </i>
    <i r="2">
      <x v="5"/>
    </i>
    <i r="1">
      <x v="2"/>
    </i>
    <i r="2">
      <x v="6"/>
    </i>
    <i r="2">
      <x v="7"/>
    </i>
    <i r="2">
      <x v="8"/>
    </i>
    <i r="1">
      <x v="3"/>
    </i>
    <i r="2">
      <x v="9"/>
    </i>
    <i r="2">
      <x v="10"/>
    </i>
    <i r="2">
      <x v="11"/>
    </i>
    <i>
      <x v="40"/>
    </i>
    <i r="1">
      <x/>
    </i>
    <i r="2">
      <x/>
    </i>
    <i r="2">
      <x v="1"/>
    </i>
    <i r="2">
      <x v="2"/>
    </i>
    <i r="1">
      <x v="1"/>
    </i>
    <i r="2">
      <x v="3"/>
    </i>
    <i r="2">
      <x v="4"/>
    </i>
    <i r="2">
      <x v="5"/>
    </i>
    <i r="1">
      <x v="2"/>
    </i>
    <i r="2">
      <x v="6"/>
    </i>
    <i r="2">
      <x v="7"/>
    </i>
    <i r="2">
      <x v="8"/>
    </i>
    <i r="1">
      <x v="3"/>
    </i>
    <i r="2">
      <x v="9"/>
    </i>
    <i r="2">
      <x v="10"/>
    </i>
    <i r="2">
      <x v="11"/>
    </i>
    <i>
      <x v="41"/>
    </i>
    <i r="1">
      <x/>
    </i>
    <i r="2">
      <x/>
    </i>
    <i r="2">
      <x v="1"/>
    </i>
    <i r="2">
      <x v="2"/>
    </i>
    <i r="1">
      <x v="1"/>
    </i>
    <i r="2">
      <x v="3"/>
    </i>
    <i r="2">
      <x v="4"/>
    </i>
    <i r="2">
      <x v="5"/>
    </i>
    <i r="1">
      <x v="2"/>
    </i>
    <i r="2">
      <x v="6"/>
    </i>
    <i r="2">
      <x v="7"/>
    </i>
    <i r="2">
      <x v="8"/>
    </i>
    <i r="1">
      <x v="3"/>
    </i>
    <i r="2">
      <x v="9"/>
    </i>
    <i r="2">
      <x v="10"/>
    </i>
    <i r="2">
      <x v="11"/>
    </i>
    <i>
      <x v="42"/>
    </i>
    <i r="1">
      <x/>
    </i>
    <i r="2">
      <x/>
    </i>
    <i r="2">
      <x v="1"/>
    </i>
    <i r="2">
      <x v="2"/>
    </i>
    <i r="1">
      <x v="1"/>
    </i>
    <i r="2">
      <x v="3"/>
    </i>
    <i r="2">
      <x v="4"/>
    </i>
    <i r="2">
      <x v="5"/>
    </i>
    <i r="1">
      <x v="2"/>
    </i>
    <i r="2">
      <x v="6"/>
    </i>
    <i r="2">
      <x v="7"/>
    </i>
    <i r="2">
      <x v="8"/>
    </i>
    <i r="1">
      <x v="3"/>
    </i>
    <i r="2">
      <x v="9"/>
    </i>
    <i r="2">
      <x v="10"/>
    </i>
    <i r="2">
      <x v="11"/>
    </i>
    <i>
      <x v="43"/>
    </i>
    <i r="1">
      <x/>
    </i>
    <i r="2">
      <x/>
    </i>
    <i r="2">
      <x v="1"/>
    </i>
    <i r="2">
      <x v="2"/>
    </i>
    <i r="1">
      <x v="1"/>
    </i>
    <i r="2">
      <x v="3"/>
    </i>
    <i r="2">
      <x v="4"/>
    </i>
    <i r="2">
      <x v="5"/>
    </i>
    <i r="1">
      <x v="2"/>
    </i>
    <i r="2">
      <x v="6"/>
    </i>
    <i r="2">
      <x v="7"/>
    </i>
    <i r="2">
      <x v="8"/>
    </i>
    <i r="1">
      <x v="3"/>
    </i>
    <i r="2">
      <x v="9"/>
    </i>
    <i r="2">
      <x v="10"/>
    </i>
    <i r="2">
      <x v="11"/>
    </i>
    <i>
      <x v="44"/>
    </i>
    <i r="1">
      <x/>
    </i>
    <i r="2">
      <x/>
    </i>
    <i r="2">
      <x v="1"/>
    </i>
    <i r="2">
      <x v="2"/>
    </i>
    <i r="1">
      <x v="1"/>
    </i>
    <i r="2">
      <x v="3"/>
    </i>
    <i r="2">
      <x v="4"/>
    </i>
    <i r="2">
      <x v="5"/>
    </i>
    <i r="1">
      <x v="2"/>
    </i>
    <i r="2">
      <x v="6"/>
    </i>
    <i r="2">
      <x v="7"/>
    </i>
    <i r="2">
      <x v="8"/>
    </i>
    <i r="1">
      <x v="3"/>
    </i>
    <i r="2">
      <x v="9"/>
    </i>
    <i r="2">
      <x v="10"/>
    </i>
    <i r="2">
      <x v="11"/>
    </i>
    <i>
      <x v="45"/>
    </i>
    <i r="1">
      <x/>
    </i>
    <i r="2">
      <x/>
    </i>
    <i r="2">
      <x v="1"/>
    </i>
    <i r="2">
      <x v="2"/>
    </i>
    <i r="1">
      <x v="1"/>
    </i>
    <i r="2">
      <x v="3"/>
    </i>
    <i r="2">
      <x v="4"/>
    </i>
    <i r="2">
      <x v="5"/>
    </i>
    <i r="1">
      <x v="2"/>
    </i>
    <i r="2">
      <x v="6"/>
    </i>
    <i r="2">
      <x v="7"/>
    </i>
    <i r="2">
      <x v="8"/>
    </i>
    <i r="1">
      <x v="3"/>
    </i>
    <i r="2">
      <x v="9"/>
    </i>
    <i r="2">
      <x v="10"/>
    </i>
    <i r="2">
      <x v="11"/>
    </i>
    <i>
      <x v="46"/>
    </i>
    <i r="1">
      <x/>
    </i>
    <i r="2">
      <x/>
    </i>
    <i r="2">
      <x v="1"/>
    </i>
    <i r="2">
      <x v="2"/>
    </i>
    <i r="1">
      <x v="1"/>
    </i>
    <i r="2">
      <x v="3"/>
    </i>
    <i r="2">
      <x v="4"/>
    </i>
    <i r="2">
      <x v="5"/>
    </i>
    <i r="1">
      <x v="2"/>
    </i>
    <i r="2">
      <x v="6"/>
    </i>
    <i r="2">
      <x v="7"/>
    </i>
    <i r="2">
      <x v="8"/>
    </i>
    <i r="1">
      <x v="3"/>
    </i>
    <i r="2">
      <x v="9"/>
    </i>
    <i r="2">
      <x v="10"/>
    </i>
    <i r="2">
      <x v="11"/>
    </i>
    <i>
      <x v="47"/>
    </i>
    <i r="1">
      <x/>
    </i>
    <i r="2">
      <x/>
    </i>
    <i r="2">
      <x v="1"/>
    </i>
    <i r="2">
      <x v="2"/>
    </i>
    <i r="1">
      <x v="1"/>
    </i>
    <i r="2">
      <x v="3"/>
    </i>
    <i r="2">
      <x v="4"/>
    </i>
    <i r="2">
      <x v="5"/>
    </i>
    <i r="1">
      <x v="2"/>
    </i>
    <i r="2">
      <x v="6"/>
    </i>
    <i r="2">
      <x v="7"/>
    </i>
    <i r="2">
      <x v="8"/>
    </i>
    <i r="1">
      <x v="3"/>
    </i>
    <i r="2">
      <x v="9"/>
    </i>
    <i r="2">
      <x v="10"/>
    </i>
    <i r="2">
      <x v="11"/>
    </i>
    <i>
      <x v="48"/>
    </i>
    <i r="1">
      <x/>
    </i>
    <i r="2">
      <x/>
    </i>
    <i r="2">
      <x v="1"/>
    </i>
    <i r="2">
      <x v="2"/>
    </i>
    <i r="1">
      <x v="1"/>
    </i>
    <i r="2">
      <x v="3"/>
    </i>
    <i r="2">
      <x v="4"/>
    </i>
    <i r="2">
      <x v="5"/>
    </i>
    <i r="1">
      <x v="2"/>
    </i>
    <i r="2">
      <x v="6"/>
    </i>
    <i r="2">
      <x v="7"/>
    </i>
    <i r="2">
      <x v="8"/>
    </i>
    <i r="1">
      <x v="3"/>
    </i>
    <i r="2">
      <x v="9"/>
    </i>
    <i r="2">
      <x v="10"/>
    </i>
    <i r="2">
      <x v="11"/>
    </i>
    <i>
      <x v="49"/>
    </i>
    <i r="1">
      <x/>
    </i>
    <i r="2">
      <x/>
    </i>
    <i r="2">
      <x v="1"/>
    </i>
    <i r="2">
      <x v="2"/>
    </i>
    <i r="1">
      <x v="1"/>
    </i>
    <i r="2">
      <x v="3"/>
    </i>
    <i r="2">
      <x v="4"/>
    </i>
    <i r="2">
      <x v="5"/>
    </i>
    <i r="1">
      <x v="2"/>
    </i>
    <i r="2">
      <x v="6"/>
    </i>
    <i r="2">
      <x v="7"/>
    </i>
    <i r="2">
      <x v="8"/>
    </i>
    <i r="1">
      <x v="3"/>
    </i>
    <i r="2">
      <x v="9"/>
    </i>
    <i r="2">
      <x v="10"/>
    </i>
    <i r="2">
      <x v="11"/>
    </i>
    <i>
      <x v="50"/>
    </i>
    <i r="1">
      <x/>
    </i>
    <i r="2">
      <x/>
    </i>
    <i r="2">
      <x v="1"/>
    </i>
    <i r="2">
      <x v="2"/>
    </i>
    <i r="1">
      <x v="1"/>
    </i>
    <i r="2">
      <x v="3"/>
    </i>
    <i r="2">
      <x v="4"/>
    </i>
    <i r="2">
      <x v="5"/>
    </i>
    <i r="1">
      <x v="2"/>
    </i>
    <i r="2">
      <x v="6"/>
    </i>
    <i r="2">
      <x v="7"/>
    </i>
    <i r="2">
      <x v="8"/>
    </i>
    <i r="1">
      <x v="3"/>
    </i>
    <i r="2">
      <x v="9"/>
    </i>
    <i r="2">
      <x v="10"/>
    </i>
    <i r="2">
      <x v="11"/>
    </i>
    <i>
      <x v="51"/>
    </i>
    <i r="1">
      <x/>
    </i>
    <i r="2">
      <x/>
    </i>
    <i r="2">
      <x v="1"/>
    </i>
    <i r="2">
      <x v="2"/>
    </i>
    <i r="1">
      <x v="1"/>
    </i>
    <i r="2">
      <x v="3"/>
    </i>
    <i r="2">
      <x v="4"/>
    </i>
    <i r="2">
      <x v="5"/>
    </i>
    <i r="1">
      <x v="2"/>
    </i>
    <i r="2">
      <x v="6"/>
    </i>
    <i r="2">
      <x v="7"/>
    </i>
    <i r="2">
      <x v="8"/>
    </i>
    <i r="1">
      <x v="3"/>
    </i>
    <i r="2">
      <x v="9"/>
    </i>
    <i r="2">
      <x v="10"/>
    </i>
    <i r="2">
      <x v="11"/>
    </i>
    <i>
      <x v="52"/>
    </i>
    <i r="1">
      <x/>
    </i>
    <i r="2">
      <x/>
    </i>
    <i r="2">
      <x v="1"/>
    </i>
    <i r="2">
      <x v="2"/>
    </i>
    <i r="1">
      <x v="1"/>
    </i>
    <i r="2">
      <x v="3"/>
    </i>
    <i r="2">
      <x v="4"/>
    </i>
    <i r="2">
      <x v="5"/>
    </i>
    <i r="1">
      <x v="2"/>
    </i>
    <i r="2">
      <x v="6"/>
    </i>
    <i r="2">
      <x v="7"/>
    </i>
    <i r="2">
      <x v="8"/>
    </i>
    <i r="1">
      <x v="3"/>
    </i>
    <i r="2">
      <x v="9"/>
    </i>
    <i r="2">
      <x v="10"/>
    </i>
    <i r="2">
      <x v="11"/>
    </i>
    <i>
      <x v="53"/>
    </i>
    <i r="1">
      <x/>
    </i>
    <i r="2">
      <x/>
    </i>
    <i r="2">
      <x v="1"/>
    </i>
    <i r="2">
      <x v="2"/>
    </i>
    <i r="1">
      <x v="1"/>
    </i>
    <i r="2">
      <x v="3"/>
    </i>
    <i r="2">
      <x v="4"/>
    </i>
    <i r="2">
      <x v="5"/>
    </i>
    <i r="1">
      <x v="2"/>
    </i>
    <i r="2">
      <x v="6"/>
    </i>
    <i r="2">
      <x v="7"/>
    </i>
    <i r="2">
      <x v="8"/>
    </i>
    <i r="1">
      <x v="3"/>
    </i>
    <i r="2">
      <x v="9"/>
    </i>
    <i r="2">
      <x v="10"/>
    </i>
    <i r="2">
      <x v="11"/>
    </i>
    <i>
      <x v="54"/>
    </i>
    <i r="1">
      <x/>
    </i>
    <i r="2">
      <x/>
    </i>
    <i r="2">
      <x v="1"/>
    </i>
    <i r="2">
      <x v="2"/>
    </i>
    <i r="1">
      <x v="1"/>
    </i>
    <i r="2">
      <x v="3"/>
    </i>
    <i r="2">
      <x v="4"/>
    </i>
    <i r="2">
      <x v="5"/>
    </i>
    <i r="1">
      <x v="2"/>
    </i>
    <i r="2">
      <x v="6"/>
    </i>
    <i r="2">
      <x v="7"/>
    </i>
    <i r="2">
      <x v="8"/>
    </i>
    <i r="1">
      <x v="3"/>
    </i>
    <i r="2">
      <x v="9"/>
    </i>
    <i r="2">
      <x v="10"/>
    </i>
    <i r="2">
      <x v="11"/>
    </i>
    <i>
      <x v="55"/>
    </i>
    <i r="1">
      <x/>
    </i>
    <i r="2">
      <x/>
    </i>
    <i r="2">
      <x v="1"/>
    </i>
    <i r="2">
      <x v="2"/>
    </i>
    <i r="1">
      <x v="1"/>
    </i>
    <i r="2">
      <x v="3"/>
    </i>
    <i r="2">
      <x v="4"/>
    </i>
    <i r="2">
      <x v="5"/>
    </i>
    <i r="1">
      <x v="2"/>
    </i>
    <i r="2">
      <x v="6"/>
    </i>
    <i r="2">
      <x v="7"/>
    </i>
    <i r="2">
      <x v="8"/>
    </i>
    <i r="1">
      <x v="3"/>
    </i>
    <i r="2">
      <x v="9"/>
    </i>
    <i r="2">
      <x v="10"/>
    </i>
    <i r="2">
      <x v="11"/>
    </i>
    <i>
      <x v="56"/>
    </i>
    <i r="1">
      <x/>
    </i>
    <i r="2">
      <x/>
    </i>
    <i r="2">
      <x v="1"/>
    </i>
    <i r="2">
      <x v="2"/>
    </i>
    <i t="grand">
      <x/>
    </i>
  </rowItems>
  <colItems count="1">
    <i/>
  </colItems>
  <dataFields count="1">
    <dataField name="Avg" fld="5" subtotal="average" baseField="1" baseItem="0" numFmtId="2"/>
  </dataFields>
  <formats count="11">
    <format dxfId="910">
      <pivotArea type="all" dataOnly="0" outline="0" fieldPosition="0"/>
    </format>
    <format dxfId="911">
      <pivotArea outline="0" collapsedLevelsAreSubtotals="1" fieldPosition="0"/>
    </format>
    <format dxfId="912">
      <pivotArea field="3" type="button" dataOnly="0" labelOnly="1" outline="0" axis="axisRow" fieldPosition="2"/>
    </format>
    <format dxfId="913">
      <pivotArea dataOnly="0" labelOnly="1" grandRow="1" outline="0" fieldPosition="0"/>
    </format>
    <format dxfId="914">
      <pivotArea dataOnly="0" labelOnly="1" outline="0" axis="axisValues" fieldPosition="0"/>
    </format>
    <format dxfId="915">
      <pivotArea type="all" dataOnly="0" outline="0" fieldPosition="0"/>
    </format>
    <format dxfId="916">
      <pivotArea outline="0" collapsedLevelsAreSubtotals="1" fieldPosition="0"/>
    </format>
    <format dxfId="917">
      <pivotArea field="3" type="button" dataOnly="0" labelOnly="1" outline="0" axis="axisRow" fieldPosition="2"/>
    </format>
    <format dxfId="918">
      <pivotArea dataOnly="0" labelOnly="1" grandRow="1" outline="0" fieldPosition="0"/>
    </format>
    <format dxfId="919">
      <pivotArea dataOnly="0" labelOnly="1" outline="0" axis="axisValues" fieldPosition="0"/>
    </format>
    <format dxfId="896">
      <pivotArea outline="0" fieldPosition="0">
        <references count="1">
          <reference field="4294967294" count="1">
            <x v="0"/>
          </reference>
        </references>
      </pivotArea>
    </format>
  </formats>
  <chartFormats count="1">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40AD00E-44DC-4551-AA1A-91BCED5F3CCA}" sourceName="[Fuel_prices].[Quarter]">
  <pivotTables>
    <pivotTable tabId="4" name="PivotTable2"/>
  </pivotTables>
  <data>
    <olap pivotCacheId="947791402">
      <levels count="2">
        <level uniqueName="[Fuel_prices].[Quarter].[(All)]" sourceCaption="(All)" count="0"/>
        <level uniqueName="[Fuel_prices].[Quarter].[Quarter]" sourceCaption="Quarter" count="4">
          <ranges>
            <range startItem="0">
              <i n="[Fuel_prices].[Quarter].&amp;[Q1]" c="Q1"/>
              <i n="[Fuel_prices].[Quarter].&amp;[Q2]" c="Q2"/>
              <i n="[Fuel_prices].[Quarter].&amp;[Q3]" c="Q3"/>
              <i n="[Fuel_prices].[Quarter].&amp;[Q4]" c="Q4"/>
            </range>
          </ranges>
        </level>
      </levels>
      <selections count="1">
        <selection n="[Fuel_prices].[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D81E44CC-A6AF-4D71-9099-62163FA03EA1}" sourceName="MonthName">
  <pivotTables>
    <pivotTable tabId="4" name="Month_Avgchange"/>
    <pivotTable tabId="4" name="PivotTable5"/>
  </pivotTables>
  <data>
    <tabular pivotCacheId="223698867">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22A31561-0ED2-4F1D-B833-E759442873BF}" cache="Slicer_Quarter" caption="Quarter" level="1" style="SlicerStyleDark2" rowHeight="241300"/>
  <slicer name="MonthName" xr10:uid="{554A4069-1191-4504-8648-06EF705D31DB}" cache="Slicer_MonthName" caption="MonthName" columnCount="3"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el_prices" displayName="Fuel_prices" ref="A1:I676" totalsRowShown="0" headerRowDxfId="956" dataDxfId="955">
  <autoFilter ref="A1:I676"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000-000001000000}" name="Date" dataDxfId="954"/>
    <tableColumn id="2" xr3:uid="{00000000-0010-0000-0000-000002000000}" name="Quarter" dataDxfId="909">
      <calculatedColumnFormula>_xlfn.CONCAT("Q",CEILING(Fuel_prices[[#This Row],[Month]]/3,1))</calculatedColumnFormula>
    </tableColumn>
    <tableColumn id="3" xr3:uid="{00000000-0010-0000-0000-000003000000}" name="Month" dataDxfId="953">
      <calculatedColumnFormula>MONTH(Fuel_prices[[#This Row],[Date]])</calculatedColumnFormula>
    </tableColumn>
    <tableColumn id="9" xr3:uid="{00000000-0010-0000-0000-000009000000}" name="MonthName" dataDxfId="952">
      <calculatedColumnFormula>TEXT(Fuel_prices[[#This Row],[Date]],"mmm")</calculatedColumnFormula>
    </tableColumn>
    <tableColumn id="4" xr3:uid="{00000000-0010-0000-0000-000004000000}" name="Year" dataDxfId="951">
      <calculatedColumnFormula>YEAR(Fuel_prices[[#This Row],[Date]])</calculatedColumnFormula>
    </tableColumn>
    <tableColumn id="5" xr3:uid="{00000000-0010-0000-0000-000005000000}" name="Crude_Oil_Price" dataDxfId="950"/>
    <tableColumn id="6" xr3:uid="{00000000-0010-0000-0000-000006000000}" name="Price_change" dataDxfId="949">
      <calculatedColumnFormula>ROUND(IFERROR((Fuel_prices[[#This Row],[Crude_Oil_Price]]-OFFSET(Fuel_prices[[#This Row],[Crude_Oil_Price]],-1,0)),0),2)</calculatedColumnFormula>
    </tableColumn>
    <tableColumn id="7" xr3:uid="{00000000-0010-0000-0000-000007000000}" name="%_change" dataDxfId="948">
      <calculatedColumnFormula>ROUND((IFERROR((Fuel_prices[[#This Row],[Crude_Oil_Price]]-OFFSET(Fuel_prices[[#This Row],[Crude_Oil_Price]],-1,0))/(OFFSET(Fuel_prices[[#This Row],[Crude_Oil_Price]],-1,0)),0))*100,2)</calculatedColumnFormula>
    </tableColumn>
    <tableColumn id="8" xr3:uid="{00000000-0010-0000-0000-000008000000}" name="Trend Analysis" dataDxfId="947">
      <calculatedColumnFormula array="1">_xlfn.IFS(
    ABS(Fuel_prices[[#This Row],[%_change]])&gt;50,"SEVERE IMPACT",
    ABS(Fuel_prices[[#This Row],[%_change]])&gt;25,"HIGH IMPACT",
    ABS(Fuel_prices[[#This Row],[%_change]])&gt;5,"MID IMPACT",
    ABS(Fuel_prices[[#This Row],[%_change]])&lt;=5,"LITTLE IMPACT"
)</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L3:M7" totalsRowShown="0" headerRowDxfId="946" dataDxfId="945" tableBorderDxfId="944">
  <autoFilter ref="L3:M7" xr:uid="{00000000-0009-0000-0100-000003000000}">
    <filterColumn colId="0" hiddenButton="1"/>
    <filterColumn colId="1" hiddenButton="1"/>
  </autoFilter>
  <tableColumns count="2">
    <tableColumn id="1" xr3:uid="{00000000-0010-0000-0100-000001000000}" name="%_change" dataDxfId="943"/>
    <tableColumn id="2" xr3:uid="{00000000-0010-0000-0100-000002000000}" name="Trend" dataDxfId="942"/>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E720A2B-D8A5-4964-9647-1AAFB6A174D2}" sourceName="Date">
  <pivotTables>
    <pivotTable tabId="4" name="PivotTable5"/>
    <pivotTable tabId="4" name="Month_Avgchange"/>
  </pivotTables>
  <state minimalRefreshVersion="6" lastRefreshVersion="6" pivotCacheId="223698867" filterType="unknown">
    <bounds startDate="1970-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F27157F-2941-492C-88AF-AF28699126FD}" cache="NativeTimeline_Date" caption="Date" level="2" selectionLevel="2" scrollPosition="2026-03-20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4495F20-185F-432C-BB7D-4A3C2EF851ED}" cache="NativeTimeline_Date" caption="Date" level="0" selectionLevel="0" scrollPosition="2020-01-01T00:00:00" style="TimeSlicerStyleDark2"/>
</timeline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76"/>
  <sheetViews>
    <sheetView workbookViewId="0">
      <selection activeCell="C16" sqref="C16"/>
    </sheetView>
  </sheetViews>
  <sheetFormatPr defaultRowHeight="15" x14ac:dyDescent="0.25"/>
  <cols>
    <col min="1" max="1" width="9.7109375" bestFit="1" customWidth="1"/>
    <col min="2" max="2" width="15.42578125" bestFit="1" customWidth="1"/>
  </cols>
  <sheetData>
    <row r="1" spans="1:2" x14ac:dyDescent="0.25">
      <c r="A1" t="s">
        <v>0</v>
      </c>
      <c r="B1" t="s">
        <v>1</v>
      </c>
    </row>
    <row r="2" spans="1:2" x14ac:dyDescent="0.25">
      <c r="A2" s="1">
        <v>25569</v>
      </c>
      <c r="B2">
        <v>1.21</v>
      </c>
    </row>
    <row r="3" spans="1:2" x14ac:dyDescent="0.25">
      <c r="A3" s="1">
        <v>25600</v>
      </c>
      <c r="B3">
        <v>1.21</v>
      </c>
    </row>
    <row r="4" spans="1:2" x14ac:dyDescent="0.25">
      <c r="A4" s="1">
        <v>25628</v>
      </c>
      <c r="B4">
        <v>1.21</v>
      </c>
    </row>
    <row r="5" spans="1:2" x14ac:dyDescent="0.25">
      <c r="A5" s="1">
        <v>25659</v>
      </c>
      <c r="B5">
        <v>1.21</v>
      </c>
    </row>
    <row r="6" spans="1:2" x14ac:dyDescent="0.25">
      <c r="A6" s="1">
        <v>25689</v>
      </c>
      <c r="B6">
        <v>1.21</v>
      </c>
    </row>
    <row r="7" spans="1:2" x14ac:dyDescent="0.25">
      <c r="A7" s="1">
        <v>25720</v>
      </c>
      <c r="B7">
        <v>1.21</v>
      </c>
    </row>
    <row r="8" spans="1:2" x14ac:dyDescent="0.25">
      <c r="A8" s="1">
        <v>25750</v>
      </c>
      <c r="B8">
        <v>1.21</v>
      </c>
    </row>
    <row r="9" spans="1:2" x14ac:dyDescent="0.25">
      <c r="A9" s="1">
        <v>25781</v>
      </c>
      <c r="B9">
        <v>1.21</v>
      </c>
    </row>
    <row r="10" spans="1:2" x14ac:dyDescent="0.25">
      <c r="A10" s="1">
        <v>25812</v>
      </c>
      <c r="B10">
        <v>1.21</v>
      </c>
    </row>
    <row r="11" spans="1:2" x14ac:dyDescent="0.25">
      <c r="A11" s="1">
        <v>25842</v>
      </c>
      <c r="B11">
        <v>1.21</v>
      </c>
    </row>
    <row r="12" spans="1:2" x14ac:dyDescent="0.25">
      <c r="A12" s="1">
        <v>25873</v>
      </c>
      <c r="B12">
        <v>1.21</v>
      </c>
    </row>
    <row r="13" spans="1:2" x14ac:dyDescent="0.25">
      <c r="A13" s="1">
        <v>25903</v>
      </c>
      <c r="B13">
        <v>1.21</v>
      </c>
    </row>
    <row r="14" spans="1:2" x14ac:dyDescent="0.25">
      <c r="A14" s="1">
        <v>25934</v>
      </c>
      <c r="B14">
        <v>1.64</v>
      </c>
    </row>
    <row r="15" spans="1:2" x14ac:dyDescent="0.25">
      <c r="A15" s="1">
        <v>25965</v>
      </c>
      <c r="B15">
        <v>1.64</v>
      </c>
    </row>
    <row r="16" spans="1:2" x14ac:dyDescent="0.25">
      <c r="A16" s="1">
        <v>25993</v>
      </c>
      <c r="B16">
        <v>1.64</v>
      </c>
    </row>
    <row r="17" spans="1:2" x14ac:dyDescent="0.25">
      <c r="A17" s="1">
        <v>26024</v>
      </c>
      <c r="B17">
        <v>1.64</v>
      </c>
    </row>
    <row r="18" spans="1:2" x14ac:dyDescent="0.25">
      <c r="A18" s="1">
        <v>26054</v>
      </c>
      <c r="B18">
        <v>1.64</v>
      </c>
    </row>
    <row r="19" spans="1:2" x14ac:dyDescent="0.25">
      <c r="A19" s="1">
        <v>26085</v>
      </c>
      <c r="B19">
        <v>1.64</v>
      </c>
    </row>
    <row r="20" spans="1:2" x14ac:dyDescent="0.25">
      <c r="A20" s="1">
        <v>26115</v>
      </c>
      <c r="B20">
        <v>1.74</v>
      </c>
    </row>
    <row r="21" spans="1:2" x14ac:dyDescent="0.25">
      <c r="A21" s="1">
        <v>26146</v>
      </c>
      <c r="B21">
        <v>1.74</v>
      </c>
    </row>
    <row r="22" spans="1:2" x14ac:dyDescent="0.25">
      <c r="A22" s="1">
        <v>26177</v>
      </c>
      <c r="B22">
        <v>1.74</v>
      </c>
    </row>
    <row r="23" spans="1:2" x14ac:dyDescent="0.25">
      <c r="A23" s="1">
        <v>26207</v>
      </c>
      <c r="B23">
        <v>1.74</v>
      </c>
    </row>
    <row r="24" spans="1:2" x14ac:dyDescent="0.25">
      <c r="A24" s="1">
        <v>26238</v>
      </c>
      <c r="B24">
        <v>1.74</v>
      </c>
    </row>
    <row r="25" spans="1:2" x14ac:dyDescent="0.25">
      <c r="A25" s="1">
        <v>26268</v>
      </c>
      <c r="B25">
        <v>1.74</v>
      </c>
    </row>
    <row r="26" spans="1:2" x14ac:dyDescent="0.25">
      <c r="A26" s="1">
        <v>26299</v>
      </c>
      <c r="B26">
        <v>1.77</v>
      </c>
    </row>
    <row r="27" spans="1:2" x14ac:dyDescent="0.25">
      <c r="A27" s="1">
        <v>26330</v>
      </c>
      <c r="B27">
        <v>1.77</v>
      </c>
    </row>
    <row r="28" spans="1:2" x14ac:dyDescent="0.25">
      <c r="A28" s="1">
        <v>26359</v>
      </c>
      <c r="B28">
        <v>1.77</v>
      </c>
    </row>
    <row r="29" spans="1:2" x14ac:dyDescent="0.25">
      <c r="A29" s="1">
        <v>26390</v>
      </c>
      <c r="B29">
        <v>1.77</v>
      </c>
    </row>
    <row r="30" spans="1:2" x14ac:dyDescent="0.25">
      <c r="A30" s="1">
        <v>26420</v>
      </c>
      <c r="B30">
        <v>1.77</v>
      </c>
    </row>
    <row r="31" spans="1:2" x14ac:dyDescent="0.25">
      <c r="A31" s="1">
        <v>26451</v>
      </c>
      <c r="B31">
        <v>1.77</v>
      </c>
    </row>
    <row r="32" spans="1:2" x14ac:dyDescent="0.25">
      <c r="A32" s="1">
        <v>26481</v>
      </c>
      <c r="B32">
        <v>1.87</v>
      </c>
    </row>
    <row r="33" spans="1:2" x14ac:dyDescent="0.25">
      <c r="A33" s="1">
        <v>26512</v>
      </c>
      <c r="B33">
        <v>1.87</v>
      </c>
    </row>
    <row r="34" spans="1:2" x14ac:dyDescent="0.25">
      <c r="A34" s="1">
        <v>26543</v>
      </c>
      <c r="B34">
        <v>1.87</v>
      </c>
    </row>
    <row r="35" spans="1:2" x14ac:dyDescent="0.25">
      <c r="A35" s="1">
        <v>26573</v>
      </c>
      <c r="B35">
        <v>1.87</v>
      </c>
    </row>
    <row r="36" spans="1:2" x14ac:dyDescent="0.25">
      <c r="A36" s="1">
        <v>26604</v>
      </c>
      <c r="B36">
        <v>1.87</v>
      </c>
    </row>
    <row r="37" spans="1:2" x14ac:dyDescent="0.25">
      <c r="A37" s="1">
        <v>26634</v>
      </c>
      <c r="B37">
        <v>1.87</v>
      </c>
    </row>
    <row r="38" spans="1:2" x14ac:dyDescent="0.25">
      <c r="A38" s="1">
        <v>26665</v>
      </c>
      <c r="B38">
        <v>2.08</v>
      </c>
    </row>
    <row r="39" spans="1:2" x14ac:dyDescent="0.25">
      <c r="A39" s="1">
        <v>26696</v>
      </c>
      <c r="B39">
        <v>2.08</v>
      </c>
    </row>
    <row r="40" spans="1:2" x14ac:dyDescent="0.25">
      <c r="A40" s="1">
        <v>26724</v>
      </c>
      <c r="B40">
        <v>2.08</v>
      </c>
    </row>
    <row r="41" spans="1:2" x14ac:dyDescent="0.25">
      <c r="A41" s="1">
        <v>26755</v>
      </c>
      <c r="B41">
        <v>2.35</v>
      </c>
    </row>
    <row r="42" spans="1:2" x14ac:dyDescent="0.25">
      <c r="A42" s="1">
        <v>26785</v>
      </c>
      <c r="B42">
        <v>2.35</v>
      </c>
    </row>
    <row r="43" spans="1:2" x14ac:dyDescent="0.25">
      <c r="A43" s="1">
        <v>26816</v>
      </c>
      <c r="B43">
        <v>2.35</v>
      </c>
    </row>
    <row r="44" spans="1:2" x14ac:dyDescent="0.25">
      <c r="A44" s="1">
        <v>26846</v>
      </c>
      <c r="B44">
        <v>2.7</v>
      </c>
    </row>
    <row r="45" spans="1:2" x14ac:dyDescent="0.25">
      <c r="A45" s="1">
        <v>26877</v>
      </c>
      <c r="B45">
        <v>2.7</v>
      </c>
    </row>
    <row r="46" spans="1:2" x14ac:dyDescent="0.25">
      <c r="A46" s="1">
        <v>26908</v>
      </c>
      <c r="B46">
        <v>2.7</v>
      </c>
    </row>
    <row r="47" spans="1:2" x14ac:dyDescent="0.25">
      <c r="A47" s="1">
        <v>26938</v>
      </c>
      <c r="B47">
        <v>4.0999999999999996</v>
      </c>
    </row>
    <row r="48" spans="1:2" x14ac:dyDescent="0.25">
      <c r="A48" s="1">
        <v>26969</v>
      </c>
      <c r="B48">
        <v>4.0999999999999996</v>
      </c>
    </row>
    <row r="49" spans="1:2" x14ac:dyDescent="0.25">
      <c r="A49" s="1">
        <v>26999</v>
      </c>
      <c r="B49">
        <v>4.0999999999999996</v>
      </c>
    </row>
    <row r="50" spans="1:2" x14ac:dyDescent="0.25">
      <c r="A50" s="1">
        <v>27030</v>
      </c>
      <c r="B50">
        <v>13</v>
      </c>
    </row>
    <row r="51" spans="1:2" x14ac:dyDescent="0.25">
      <c r="A51" s="1">
        <v>27061</v>
      </c>
      <c r="B51">
        <v>13</v>
      </c>
    </row>
    <row r="52" spans="1:2" x14ac:dyDescent="0.25">
      <c r="A52" s="1">
        <v>27089</v>
      </c>
      <c r="B52">
        <v>13</v>
      </c>
    </row>
    <row r="53" spans="1:2" x14ac:dyDescent="0.25">
      <c r="A53" s="1">
        <v>27120</v>
      </c>
      <c r="B53">
        <v>10.59999847412</v>
      </c>
    </row>
    <row r="54" spans="1:2" x14ac:dyDescent="0.25">
      <c r="A54" s="1">
        <v>27150</v>
      </c>
      <c r="B54">
        <v>10.59999847412</v>
      </c>
    </row>
    <row r="55" spans="1:2" x14ac:dyDescent="0.25">
      <c r="A55" s="1">
        <v>27181</v>
      </c>
      <c r="B55">
        <v>10.59999847412</v>
      </c>
    </row>
    <row r="56" spans="1:2" x14ac:dyDescent="0.25">
      <c r="A56" s="1">
        <v>27211</v>
      </c>
      <c r="B56">
        <v>10</v>
      </c>
    </row>
    <row r="57" spans="1:2" x14ac:dyDescent="0.25">
      <c r="A57" s="1">
        <v>27242</v>
      </c>
      <c r="B57">
        <v>10</v>
      </c>
    </row>
    <row r="58" spans="1:2" x14ac:dyDescent="0.25">
      <c r="A58" s="1">
        <v>27273</v>
      </c>
      <c r="B58">
        <v>10</v>
      </c>
    </row>
    <row r="59" spans="1:2" x14ac:dyDescent="0.25">
      <c r="A59" s="1">
        <v>27303</v>
      </c>
      <c r="B59">
        <v>10.29999923706</v>
      </c>
    </row>
    <row r="60" spans="1:2" x14ac:dyDescent="0.25">
      <c r="A60" s="1">
        <v>27334</v>
      </c>
      <c r="B60">
        <v>10.29999923706</v>
      </c>
    </row>
    <row r="61" spans="1:2" x14ac:dyDescent="0.25">
      <c r="A61" s="1">
        <v>27364</v>
      </c>
      <c r="B61">
        <v>10.29999923706</v>
      </c>
    </row>
    <row r="62" spans="1:2" x14ac:dyDescent="0.25">
      <c r="A62" s="1">
        <v>27395</v>
      </c>
      <c r="B62">
        <v>10.42000007629</v>
      </c>
    </row>
    <row r="63" spans="1:2" x14ac:dyDescent="0.25">
      <c r="A63" s="1">
        <v>27426</v>
      </c>
      <c r="B63">
        <v>10.42000007629</v>
      </c>
    </row>
    <row r="64" spans="1:2" x14ac:dyDescent="0.25">
      <c r="A64" s="1">
        <v>27454</v>
      </c>
      <c r="B64">
        <v>10.42000007629</v>
      </c>
    </row>
    <row r="65" spans="1:2" x14ac:dyDescent="0.25">
      <c r="A65" s="1">
        <v>27485</v>
      </c>
      <c r="B65">
        <v>10.42000007629</v>
      </c>
    </row>
    <row r="66" spans="1:2" x14ac:dyDescent="0.25">
      <c r="A66" s="1">
        <v>27515</v>
      </c>
      <c r="B66">
        <v>10.42000007629</v>
      </c>
    </row>
    <row r="67" spans="1:2" x14ac:dyDescent="0.25">
      <c r="A67" s="1">
        <v>27546</v>
      </c>
      <c r="B67">
        <v>10.42000007629</v>
      </c>
    </row>
    <row r="68" spans="1:2" x14ac:dyDescent="0.25">
      <c r="A68" s="1">
        <v>27576</v>
      </c>
      <c r="B68">
        <v>10.43000030518</v>
      </c>
    </row>
    <row r="69" spans="1:2" x14ac:dyDescent="0.25">
      <c r="A69" s="1">
        <v>27607</v>
      </c>
      <c r="B69">
        <v>10.43000030518</v>
      </c>
    </row>
    <row r="70" spans="1:2" x14ac:dyDescent="0.25">
      <c r="A70" s="1">
        <v>27638</v>
      </c>
      <c r="B70">
        <v>10.43000030518</v>
      </c>
    </row>
    <row r="71" spans="1:2" x14ac:dyDescent="0.25">
      <c r="A71" s="1">
        <v>27668</v>
      </c>
      <c r="B71">
        <v>10.46000003815</v>
      </c>
    </row>
    <row r="72" spans="1:2" x14ac:dyDescent="0.25">
      <c r="A72" s="1">
        <v>27699</v>
      </c>
      <c r="B72">
        <v>10.46000003815</v>
      </c>
    </row>
    <row r="73" spans="1:2" x14ac:dyDescent="0.25">
      <c r="A73" s="1">
        <v>27729</v>
      </c>
      <c r="B73">
        <v>10.46000003815</v>
      </c>
    </row>
    <row r="74" spans="1:2" x14ac:dyDescent="0.25">
      <c r="A74" s="1">
        <v>27760</v>
      </c>
      <c r="B74">
        <v>11.510000228879999</v>
      </c>
    </row>
    <row r="75" spans="1:2" x14ac:dyDescent="0.25">
      <c r="A75" s="1">
        <v>27791</v>
      </c>
      <c r="B75">
        <v>11.510000228879999</v>
      </c>
    </row>
    <row r="76" spans="1:2" x14ac:dyDescent="0.25">
      <c r="A76" s="1">
        <v>27820</v>
      </c>
      <c r="B76">
        <v>11.510000228879999</v>
      </c>
    </row>
    <row r="77" spans="1:2" x14ac:dyDescent="0.25">
      <c r="A77" s="1">
        <v>27851</v>
      </c>
      <c r="B77">
        <v>11.510000228879999</v>
      </c>
    </row>
    <row r="78" spans="1:2" x14ac:dyDescent="0.25">
      <c r="A78" s="1">
        <v>27881</v>
      </c>
      <c r="B78">
        <v>11.510000228879999</v>
      </c>
    </row>
    <row r="79" spans="1:2" x14ac:dyDescent="0.25">
      <c r="A79" s="1">
        <v>27912</v>
      </c>
      <c r="B79">
        <v>11.510000228879999</v>
      </c>
    </row>
    <row r="80" spans="1:2" x14ac:dyDescent="0.25">
      <c r="A80" s="1">
        <v>27942</v>
      </c>
      <c r="B80">
        <v>11.60000038147</v>
      </c>
    </row>
    <row r="81" spans="1:2" x14ac:dyDescent="0.25">
      <c r="A81" s="1">
        <v>27973</v>
      </c>
      <c r="B81">
        <v>11.60000038147</v>
      </c>
    </row>
    <row r="82" spans="1:2" x14ac:dyDescent="0.25">
      <c r="A82" s="1">
        <v>28004</v>
      </c>
      <c r="B82">
        <v>11.60000038147</v>
      </c>
    </row>
    <row r="83" spans="1:2" x14ac:dyDescent="0.25">
      <c r="A83" s="1">
        <v>28034</v>
      </c>
      <c r="B83">
        <v>11.89999961853</v>
      </c>
    </row>
    <row r="84" spans="1:2" x14ac:dyDescent="0.25">
      <c r="A84" s="1">
        <v>28065</v>
      </c>
      <c r="B84">
        <v>11.89999961853</v>
      </c>
    </row>
    <row r="85" spans="1:2" x14ac:dyDescent="0.25">
      <c r="A85" s="1">
        <v>28095</v>
      </c>
      <c r="B85">
        <v>11.89999961853</v>
      </c>
    </row>
    <row r="86" spans="1:2" x14ac:dyDescent="0.25">
      <c r="A86" s="1">
        <v>28126</v>
      </c>
      <c r="B86">
        <v>12.5</v>
      </c>
    </row>
    <row r="87" spans="1:2" x14ac:dyDescent="0.25">
      <c r="A87" s="1">
        <v>28157</v>
      </c>
      <c r="B87">
        <v>12.5</v>
      </c>
    </row>
    <row r="88" spans="1:2" x14ac:dyDescent="0.25">
      <c r="A88" s="1">
        <v>28185</v>
      </c>
      <c r="B88">
        <v>12.5</v>
      </c>
    </row>
    <row r="89" spans="1:2" x14ac:dyDescent="0.25">
      <c r="A89" s="1">
        <v>28216</v>
      </c>
      <c r="B89">
        <v>12.44999980927</v>
      </c>
    </row>
    <row r="90" spans="1:2" x14ac:dyDescent="0.25">
      <c r="A90" s="1">
        <v>28246</v>
      </c>
      <c r="B90">
        <v>12.44999980927</v>
      </c>
    </row>
    <row r="91" spans="1:2" x14ac:dyDescent="0.25">
      <c r="A91" s="1">
        <v>28277</v>
      </c>
      <c r="B91">
        <v>12.44999980927</v>
      </c>
    </row>
    <row r="92" spans="1:2" x14ac:dyDescent="0.25">
      <c r="A92" s="1">
        <v>28307</v>
      </c>
      <c r="B92">
        <v>12.63000011444</v>
      </c>
    </row>
    <row r="93" spans="1:2" x14ac:dyDescent="0.25">
      <c r="A93" s="1">
        <v>28338</v>
      </c>
      <c r="B93">
        <v>12.63000011444</v>
      </c>
    </row>
    <row r="94" spans="1:2" x14ac:dyDescent="0.25">
      <c r="A94" s="1">
        <v>28369</v>
      </c>
      <c r="B94">
        <v>12.63000011444</v>
      </c>
    </row>
    <row r="95" spans="1:2" x14ac:dyDescent="0.25">
      <c r="A95" s="1">
        <v>28399</v>
      </c>
      <c r="B95">
        <v>12.68000030518</v>
      </c>
    </row>
    <row r="96" spans="1:2" x14ac:dyDescent="0.25">
      <c r="A96" s="1">
        <v>28430</v>
      </c>
      <c r="B96">
        <v>12.68000030518</v>
      </c>
    </row>
    <row r="97" spans="1:2" x14ac:dyDescent="0.25">
      <c r="A97" s="1">
        <v>28460</v>
      </c>
      <c r="B97">
        <v>12.68000030518</v>
      </c>
    </row>
    <row r="98" spans="1:2" x14ac:dyDescent="0.25">
      <c r="A98" s="1">
        <v>28491</v>
      </c>
      <c r="B98">
        <v>12.659999847410001</v>
      </c>
    </row>
    <row r="99" spans="1:2" x14ac:dyDescent="0.25">
      <c r="A99" s="1">
        <v>28522</v>
      </c>
      <c r="B99">
        <v>12.659999847410001</v>
      </c>
    </row>
    <row r="100" spans="1:2" x14ac:dyDescent="0.25">
      <c r="A100" s="1">
        <v>28550</v>
      </c>
      <c r="B100">
        <v>12.659999847410001</v>
      </c>
    </row>
    <row r="101" spans="1:2" x14ac:dyDescent="0.25">
      <c r="A101" s="1">
        <v>28581</v>
      </c>
      <c r="B101">
        <v>12.68000030518</v>
      </c>
    </row>
    <row r="102" spans="1:2" x14ac:dyDescent="0.25">
      <c r="A102" s="1">
        <v>28611</v>
      </c>
      <c r="B102">
        <v>12.69999980927</v>
      </c>
    </row>
    <row r="103" spans="1:2" x14ac:dyDescent="0.25">
      <c r="A103" s="1">
        <v>28642</v>
      </c>
      <c r="B103">
        <v>12.72999954224</v>
      </c>
    </row>
    <row r="104" spans="1:2" x14ac:dyDescent="0.25">
      <c r="A104" s="1">
        <v>28672</v>
      </c>
      <c r="B104">
        <v>12.77000045776</v>
      </c>
    </row>
    <row r="105" spans="1:2" x14ac:dyDescent="0.25">
      <c r="A105" s="1">
        <v>28703</v>
      </c>
      <c r="B105">
        <v>12.78999996185</v>
      </c>
    </row>
    <row r="106" spans="1:2" x14ac:dyDescent="0.25">
      <c r="A106" s="1">
        <v>28734</v>
      </c>
      <c r="B106">
        <v>12.80000019073</v>
      </c>
    </row>
    <row r="107" spans="1:2" x14ac:dyDescent="0.25">
      <c r="A107" s="1">
        <v>28764</v>
      </c>
      <c r="B107">
        <v>12.85000038147</v>
      </c>
    </row>
    <row r="108" spans="1:2" x14ac:dyDescent="0.25">
      <c r="A108" s="1">
        <v>28795</v>
      </c>
      <c r="B108">
        <v>13.19999980927</v>
      </c>
    </row>
    <row r="109" spans="1:2" x14ac:dyDescent="0.25">
      <c r="A109" s="1">
        <v>28825</v>
      </c>
      <c r="B109">
        <v>14.5</v>
      </c>
    </row>
    <row r="110" spans="1:2" x14ac:dyDescent="0.25">
      <c r="A110" s="1">
        <v>28856</v>
      </c>
      <c r="B110">
        <v>17.4500002861</v>
      </c>
    </row>
    <row r="111" spans="1:2" x14ac:dyDescent="0.25">
      <c r="A111" s="1">
        <v>28887</v>
      </c>
      <c r="B111">
        <v>20.75</v>
      </c>
    </row>
    <row r="112" spans="1:2" x14ac:dyDescent="0.25">
      <c r="A112" s="1">
        <v>28915</v>
      </c>
      <c r="B112">
        <v>22.02499961853</v>
      </c>
    </row>
    <row r="113" spans="1:2" x14ac:dyDescent="0.25">
      <c r="A113" s="1">
        <v>28946</v>
      </c>
      <c r="B113">
        <v>22.42500019073</v>
      </c>
    </row>
    <row r="114" spans="1:2" x14ac:dyDescent="0.25">
      <c r="A114" s="1">
        <v>28976</v>
      </c>
      <c r="B114">
        <v>33.5</v>
      </c>
    </row>
    <row r="115" spans="1:2" x14ac:dyDescent="0.25">
      <c r="A115" s="1">
        <v>29007</v>
      </c>
      <c r="B115">
        <v>34.67499923706</v>
      </c>
    </row>
    <row r="116" spans="1:2" x14ac:dyDescent="0.25">
      <c r="A116" s="1">
        <v>29037</v>
      </c>
      <c r="B116">
        <v>33.5</v>
      </c>
    </row>
    <row r="117" spans="1:2" x14ac:dyDescent="0.25">
      <c r="A117" s="1">
        <v>29068</v>
      </c>
      <c r="B117">
        <v>34</v>
      </c>
    </row>
    <row r="118" spans="1:2" x14ac:dyDescent="0.25">
      <c r="A118" s="1">
        <v>29099</v>
      </c>
      <c r="B118">
        <v>35.5</v>
      </c>
    </row>
    <row r="119" spans="1:2" x14ac:dyDescent="0.25">
      <c r="A119" s="1">
        <v>29129</v>
      </c>
      <c r="B119">
        <v>37.25</v>
      </c>
    </row>
    <row r="120" spans="1:2" x14ac:dyDescent="0.25">
      <c r="A120" s="1">
        <v>29160</v>
      </c>
      <c r="B120">
        <v>40.75</v>
      </c>
    </row>
    <row r="121" spans="1:2" x14ac:dyDescent="0.25">
      <c r="A121" s="1">
        <v>29190</v>
      </c>
      <c r="B121">
        <v>39.75</v>
      </c>
    </row>
    <row r="122" spans="1:2" x14ac:dyDescent="0.25">
      <c r="A122" s="1">
        <v>29221</v>
      </c>
      <c r="B122">
        <v>39</v>
      </c>
    </row>
    <row r="123" spans="1:2" x14ac:dyDescent="0.25">
      <c r="A123" s="1">
        <v>29252</v>
      </c>
      <c r="B123">
        <v>37.25</v>
      </c>
    </row>
    <row r="124" spans="1:2" x14ac:dyDescent="0.25">
      <c r="A124" s="1">
        <v>29281</v>
      </c>
      <c r="B124">
        <v>37</v>
      </c>
    </row>
    <row r="125" spans="1:2" x14ac:dyDescent="0.25">
      <c r="A125" s="1">
        <v>29312</v>
      </c>
      <c r="B125">
        <v>36.57500076294</v>
      </c>
    </row>
    <row r="126" spans="1:2" x14ac:dyDescent="0.25">
      <c r="A126" s="1">
        <v>29342</v>
      </c>
      <c r="B126">
        <v>37.04999923706</v>
      </c>
    </row>
    <row r="127" spans="1:2" x14ac:dyDescent="0.25">
      <c r="A127" s="1">
        <v>29373</v>
      </c>
      <c r="B127">
        <v>37</v>
      </c>
    </row>
    <row r="128" spans="1:2" x14ac:dyDescent="0.25">
      <c r="A128" s="1">
        <v>29403</v>
      </c>
      <c r="B128">
        <v>35.375</v>
      </c>
    </row>
    <row r="129" spans="1:2" x14ac:dyDescent="0.25">
      <c r="A129" s="1">
        <v>29434</v>
      </c>
      <c r="B129">
        <v>32.949998855590003</v>
      </c>
    </row>
    <row r="130" spans="1:2" x14ac:dyDescent="0.25">
      <c r="A130" s="1">
        <v>29465</v>
      </c>
      <c r="B130">
        <v>32.82500076294</v>
      </c>
    </row>
    <row r="131" spans="1:2" x14ac:dyDescent="0.25">
      <c r="A131" s="1">
        <v>29495</v>
      </c>
      <c r="B131">
        <v>37.350000381469997</v>
      </c>
    </row>
    <row r="132" spans="1:2" x14ac:dyDescent="0.25">
      <c r="A132" s="1">
        <v>29526</v>
      </c>
      <c r="B132">
        <v>40.29999923706</v>
      </c>
    </row>
    <row r="133" spans="1:2" x14ac:dyDescent="0.25">
      <c r="A133" s="1">
        <v>29556</v>
      </c>
      <c r="B133">
        <v>39.75</v>
      </c>
    </row>
    <row r="134" spans="1:2" x14ac:dyDescent="0.25">
      <c r="A134" s="1">
        <v>29587</v>
      </c>
      <c r="B134">
        <v>39.774999618530003</v>
      </c>
    </row>
    <row r="135" spans="1:2" x14ac:dyDescent="0.25">
      <c r="A135" s="1">
        <v>29618</v>
      </c>
      <c r="B135">
        <v>37.899999618530003</v>
      </c>
    </row>
    <row r="136" spans="1:2" x14ac:dyDescent="0.25">
      <c r="A136" s="1">
        <v>29646</v>
      </c>
      <c r="B136">
        <v>37.59999847412</v>
      </c>
    </row>
    <row r="137" spans="1:2" x14ac:dyDescent="0.25">
      <c r="A137" s="1">
        <v>29677</v>
      </c>
      <c r="B137">
        <v>36.369998931879998</v>
      </c>
    </row>
    <row r="138" spans="1:2" x14ac:dyDescent="0.25">
      <c r="A138" s="1">
        <v>29707</v>
      </c>
      <c r="B138">
        <v>34.284999847409999</v>
      </c>
    </row>
    <row r="139" spans="1:2" x14ac:dyDescent="0.25">
      <c r="A139" s="1">
        <v>29738</v>
      </c>
      <c r="B139">
        <v>32.709999084469999</v>
      </c>
    </row>
    <row r="140" spans="1:2" x14ac:dyDescent="0.25">
      <c r="A140" s="1">
        <v>29768</v>
      </c>
      <c r="B140">
        <v>33.510000228880003</v>
      </c>
    </row>
    <row r="141" spans="1:2" x14ac:dyDescent="0.25">
      <c r="A141" s="1">
        <v>29799</v>
      </c>
      <c r="B141">
        <v>33.984998703000002</v>
      </c>
    </row>
    <row r="142" spans="1:2" x14ac:dyDescent="0.25">
      <c r="A142" s="1">
        <v>29830</v>
      </c>
      <c r="B142">
        <v>33.985000610349999</v>
      </c>
    </row>
    <row r="143" spans="1:2" x14ac:dyDescent="0.25">
      <c r="A143" s="1">
        <v>29860</v>
      </c>
      <c r="B143">
        <v>34.610000610349999</v>
      </c>
    </row>
    <row r="144" spans="1:2" x14ac:dyDescent="0.25">
      <c r="A144" s="1">
        <v>29891</v>
      </c>
      <c r="B144">
        <v>35.680000305180002</v>
      </c>
    </row>
    <row r="145" spans="1:2" x14ac:dyDescent="0.25">
      <c r="A145" s="1">
        <v>29921</v>
      </c>
      <c r="B145">
        <v>35.409999847409999</v>
      </c>
    </row>
    <row r="146" spans="1:2" x14ac:dyDescent="0.25">
      <c r="A146" s="1">
        <v>29952</v>
      </c>
      <c r="B146">
        <v>35.049999491370002</v>
      </c>
    </row>
    <row r="147" spans="1:2" x14ac:dyDescent="0.25">
      <c r="A147" s="1">
        <v>29983</v>
      </c>
      <c r="B147">
        <v>32.273333485919999</v>
      </c>
    </row>
    <row r="148" spans="1:2" x14ac:dyDescent="0.25">
      <c r="A148" s="1">
        <v>30011</v>
      </c>
      <c r="B148">
        <v>30.16666653951</v>
      </c>
    </row>
    <row r="149" spans="1:2" x14ac:dyDescent="0.25">
      <c r="A149" s="1">
        <v>30042</v>
      </c>
      <c r="B149">
        <v>31.56666603088</v>
      </c>
    </row>
    <row r="150" spans="1:2" x14ac:dyDescent="0.25">
      <c r="A150" s="1">
        <v>30072</v>
      </c>
      <c r="B150">
        <v>33.043332926429997</v>
      </c>
    </row>
    <row r="151" spans="1:2" x14ac:dyDescent="0.25">
      <c r="A151" s="1">
        <v>30103</v>
      </c>
      <c r="B151">
        <v>32.766666666669998</v>
      </c>
    </row>
    <row r="152" spans="1:2" x14ac:dyDescent="0.25">
      <c r="A152" s="1">
        <v>30133</v>
      </c>
      <c r="B152">
        <v>32.916667175290002</v>
      </c>
    </row>
    <row r="153" spans="1:2" x14ac:dyDescent="0.25">
      <c r="A153" s="1">
        <v>30164</v>
      </c>
      <c r="B153">
        <v>32.416666412349997</v>
      </c>
    </row>
    <row r="154" spans="1:2" x14ac:dyDescent="0.25">
      <c r="A154" s="1">
        <v>30195</v>
      </c>
      <c r="B154">
        <v>33.466666412350001</v>
      </c>
    </row>
    <row r="155" spans="1:2" x14ac:dyDescent="0.25">
      <c r="A155" s="1">
        <v>30225</v>
      </c>
      <c r="B155">
        <v>33.783333841960001</v>
      </c>
    </row>
    <row r="156" spans="1:2" x14ac:dyDescent="0.25">
      <c r="A156" s="1">
        <v>30256</v>
      </c>
      <c r="B156">
        <v>32.849999745689999</v>
      </c>
    </row>
    <row r="157" spans="1:2" x14ac:dyDescent="0.25">
      <c r="A157" s="1">
        <v>30286</v>
      </c>
      <c r="B157">
        <v>31.46666679382</v>
      </c>
    </row>
    <row r="158" spans="1:2" x14ac:dyDescent="0.25">
      <c r="A158" s="1">
        <v>30317</v>
      </c>
      <c r="B158">
        <v>30.653333028159999</v>
      </c>
    </row>
    <row r="159" spans="1:2" x14ac:dyDescent="0.25">
      <c r="A159" s="1">
        <v>30348</v>
      </c>
      <c r="B159">
        <v>29.113333384200001</v>
      </c>
    </row>
    <row r="160" spans="1:2" x14ac:dyDescent="0.25">
      <c r="A160" s="1">
        <v>30376</v>
      </c>
      <c r="B160">
        <v>28.32000033061</v>
      </c>
    </row>
    <row r="161" spans="1:2" x14ac:dyDescent="0.25">
      <c r="A161" s="1">
        <v>30407</v>
      </c>
      <c r="B161">
        <v>29.693333307900001</v>
      </c>
    </row>
    <row r="162" spans="1:2" x14ac:dyDescent="0.25">
      <c r="A162" s="1">
        <v>30437</v>
      </c>
      <c r="B162">
        <v>29.359999974570002</v>
      </c>
    </row>
    <row r="163" spans="1:2" x14ac:dyDescent="0.25">
      <c r="A163" s="1">
        <v>30468</v>
      </c>
      <c r="B163">
        <v>29.966667175289999</v>
      </c>
    </row>
    <row r="164" spans="1:2" x14ac:dyDescent="0.25">
      <c r="A164" s="1">
        <v>30498</v>
      </c>
      <c r="B164">
        <v>30.466666539510001</v>
      </c>
    </row>
    <row r="165" spans="1:2" x14ac:dyDescent="0.25">
      <c r="A165" s="1">
        <v>30529</v>
      </c>
      <c r="B165">
        <v>30.653333028159999</v>
      </c>
    </row>
    <row r="166" spans="1:2" x14ac:dyDescent="0.25">
      <c r="A166" s="1">
        <v>30560</v>
      </c>
      <c r="B166">
        <v>30.07000033061</v>
      </c>
    </row>
    <row r="167" spans="1:2" x14ac:dyDescent="0.25">
      <c r="A167" s="1">
        <v>30590</v>
      </c>
      <c r="B167">
        <v>29.616666793819999</v>
      </c>
    </row>
    <row r="168" spans="1:2" x14ac:dyDescent="0.25">
      <c r="A168" s="1">
        <v>30621</v>
      </c>
      <c r="B168">
        <v>29.16666666667</v>
      </c>
    </row>
    <row r="169" spans="1:2" x14ac:dyDescent="0.25">
      <c r="A169" s="1">
        <v>30651</v>
      </c>
      <c r="B169">
        <v>28.813333511349999</v>
      </c>
    </row>
    <row r="170" spans="1:2" x14ac:dyDescent="0.25">
      <c r="A170" s="1">
        <v>30682</v>
      </c>
      <c r="B170">
        <v>29.043333053590001</v>
      </c>
    </row>
    <row r="171" spans="1:2" x14ac:dyDescent="0.25">
      <c r="A171" s="1">
        <v>30713</v>
      </c>
      <c r="B171">
        <v>29.203332901</v>
      </c>
    </row>
    <row r="172" spans="1:2" x14ac:dyDescent="0.25">
      <c r="A172" s="1">
        <v>30742</v>
      </c>
      <c r="B172">
        <v>29.533333460489999</v>
      </c>
    </row>
    <row r="173" spans="1:2" x14ac:dyDescent="0.25">
      <c r="A173" s="1">
        <v>30773</v>
      </c>
      <c r="B173">
        <v>29.573332468669999</v>
      </c>
    </row>
    <row r="174" spans="1:2" x14ac:dyDescent="0.25">
      <c r="A174" s="1">
        <v>30803</v>
      </c>
      <c r="B174">
        <v>29.460000356039998</v>
      </c>
    </row>
    <row r="175" spans="1:2" x14ac:dyDescent="0.25">
      <c r="A175" s="1">
        <v>30834</v>
      </c>
      <c r="B175">
        <v>29.050000508629999</v>
      </c>
    </row>
    <row r="176" spans="1:2" x14ac:dyDescent="0.25">
      <c r="A176" s="1">
        <v>30864</v>
      </c>
      <c r="B176">
        <v>27.98666699727</v>
      </c>
    </row>
    <row r="177" spans="1:2" x14ac:dyDescent="0.25">
      <c r="A177" s="1">
        <v>30895</v>
      </c>
      <c r="B177">
        <v>28.170000076289998</v>
      </c>
    </row>
    <row r="178" spans="1:2" x14ac:dyDescent="0.25">
      <c r="A178" s="1">
        <v>30926</v>
      </c>
      <c r="B178">
        <v>28.353333155310001</v>
      </c>
    </row>
    <row r="179" spans="1:2" x14ac:dyDescent="0.25">
      <c r="A179" s="1">
        <v>30956</v>
      </c>
      <c r="B179">
        <v>27.853333155310001</v>
      </c>
    </row>
    <row r="180" spans="1:2" x14ac:dyDescent="0.25">
      <c r="A180" s="1">
        <v>30987</v>
      </c>
      <c r="B180">
        <v>27.650000254310001</v>
      </c>
    </row>
    <row r="181" spans="1:2" x14ac:dyDescent="0.25">
      <c r="A181" s="1">
        <v>31017</v>
      </c>
      <c r="B181">
        <v>26.813333511349999</v>
      </c>
    </row>
    <row r="182" spans="1:2" x14ac:dyDescent="0.25">
      <c r="A182" s="1">
        <v>31048</v>
      </c>
      <c r="B182">
        <v>26.63333333333</v>
      </c>
    </row>
    <row r="183" spans="1:2" x14ac:dyDescent="0.25">
      <c r="A183" s="1">
        <v>31079</v>
      </c>
      <c r="B183">
        <v>27.6</v>
      </c>
    </row>
    <row r="184" spans="1:2" x14ac:dyDescent="0.25">
      <c r="A184" s="1">
        <v>31107</v>
      </c>
      <c r="B184">
        <v>27.85</v>
      </c>
    </row>
    <row r="185" spans="1:2" x14ac:dyDescent="0.25">
      <c r="A185" s="1">
        <v>31138</v>
      </c>
      <c r="B185">
        <v>27.8</v>
      </c>
    </row>
    <row r="186" spans="1:2" x14ac:dyDescent="0.25">
      <c r="A186" s="1">
        <v>31168</v>
      </c>
      <c r="B186">
        <v>26.65</v>
      </c>
    </row>
    <row r="187" spans="1:2" x14ac:dyDescent="0.25">
      <c r="A187" s="1">
        <v>31199</v>
      </c>
      <c r="B187">
        <v>26.36666666667</v>
      </c>
    </row>
    <row r="188" spans="1:2" x14ac:dyDescent="0.25">
      <c r="A188" s="1">
        <v>31229</v>
      </c>
      <c r="B188">
        <v>26.38333333333</v>
      </c>
    </row>
    <row r="189" spans="1:2" x14ac:dyDescent="0.25">
      <c r="A189" s="1">
        <v>31260</v>
      </c>
      <c r="B189">
        <v>27.016666666670002</v>
      </c>
    </row>
    <row r="190" spans="1:2" x14ac:dyDescent="0.25">
      <c r="A190" s="1">
        <v>31291</v>
      </c>
      <c r="B190">
        <v>26.983333333329998</v>
      </c>
    </row>
    <row r="191" spans="1:2" x14ac:dyDescent="0.25">
      <c r="A191" s="1">
        <v>31321</v>
      </c>
      <c r="B191">
        <v>27.816666666669999</v>
      </c>
    </row>
    <row r="192" spans="1:2" x14ac:dyDescent="0.25">
      <c r="A192" s="1">
        <v>31352</v>
      </c>
      <c r="B192">
        <v>28.6</v>
      </c>
    </row>
    <row r="193" spans="1:2" x14ac:dyDescent="0.25">
      <c r="A193" s="1">
        <v>31382</v>
      </c>
      <c r="B193">
        <v>26.5</v>
      </c>
    </row>
    <row r="194" spans="1:2" x14ac:dyDescent="0.25">
      <c r="A194" s="1">
        <v>31413</v>
      </c>
      <c r="B194">
        <v>24.683333333330001</v>
      </c>
    </row>
    <row r="195" spans="1:2" x14ac:dyDescent="0.25">
      <c r="A195" s="1">
        <v>31444</v>
      </c>
      <c r="B195">
        <v>15.91666666667</v>
      </c>
    </row>
    <row r="196" spans="1:2" x14ac:dyDescent="0.25">
      <c r="A196" s="1">
        <v>31472</v>
      </c>
      <c r="B196">
        <v>12.65</v>
      </c>
    </row>
    <row r="197" spans="1:2" x14ac:dyDescent="0.25">
      <c r="A197" s="1">
        <v>31503</v>
      </c>
      <c r="B197">
        <v>11.9</v>
      </c>
    </row>
    <row r="198" spans="1:2" x14ac:dyDescent="0.25">
      <c r="A198" s="1">
        <v>31533</v>
      </c>
      <c r="B198">
        <v>13.716666666669999</v>
      </c>
    </row>
    <row r="199" spans="1:2" x14ac:dyDescent="0.25">
      <c r="A199" s="1">
        <v>31564</v>
      </c>
      <c r="B199">
        <v>11.85</v>
      </c>
    </row>
    <row r="200" spans="1:2" x14ac:dyDescent="0.25">
      <c r="A200" s="1">
        <v>31594</v>
      </c>
      <c r="B200">
        <v>9.6166666666699996</v>
      </c>
    </row>
    <row r="201" spans="1:2" x14ac:dyDescent="0.25">
      <c r="A201" s="1">
        <v>31625</v>
      </c>
      <c r="B201">
        <v>13.7</v>
      </c>
    </row>
    <row r="202" spans="1:2" x14ac:dyDescent="0.25">
      <c r="A202" s="1">
        <v>31656</v>
      </c>
      <c r="B202">
        <v>14.08333333333</v>
      </c>
    </row>
    <row r="203" spans="1:2" x14ac:dyDescent="0.25">
      <c r="A203" s="1">
        <v>31686</v>
      </c>
      <c r="B203">
        <v>13.95</v>
      </c>
    </row>
    <row r="204" spans="1:2" x14ac:dyDescent="0.25">
      <c r="A204" s="1">
        <v>31717</v>
      </c>
      <c r="B204">
        <v>14.45</v>
      </c>
    </row>
    <row r="205" spans="1:2" x14ac:dyDescent="0.25">
      <c r="A205" s="1">
        <v>31747</v>
      </c>
      <c r="B205">
        <v>15.683333333329999</v>
      </c>
    </row>
    <row r="206" spans="1:2" x14ac:dyDescent="0.25">
      <c r="A206" s="1">
        <v>31778</v>
      </c>
      <c r="B206">
        <v>18.066666666669999</v>
      </c>
    </row>
    <row r="207" spans="1:2" x14ac:dyDescent="0.25">
      <c r="A207" s="1">
        <v>31809</v>
      </c>
      <c r="B207">
        <v>17.25</v>
      </c>
    </row>
    <row r="208" spans="1:2" x14ac:dyDescent="0.25">
      <c r="A208" s="1">
        <v>31837</v>
      </c>
      <c r="B208">
        <v>17.75</v>
      </c>
    </row>
    <row r="209" spans="1:2" x14ac:dyDescent="0.25">
      <c r="A209" s="1">
        <v>31868</v>
      </c>
      <c r="B209">
        <v>17.899999999999999</v>
      </c>
    </row>
    <row r="210" spans="1:2" x14ac:dyDescent="0.25">
      <c r="A210" s="1">
        <v>31898</v>
      </c>
      <c r="B210">
        <v>18.399999999999999</v>
      </c>
    </row>
    <row r="211" spans="1:2" x14ac:dyDescent="0.25">
      <c r="A211" s="1">
        <v>31929</v>
      </c>
      <c r="B211">
        <v>18.716666666670001</v>
      </c>
    </row>
    <row r="212" spans="1:2" x14ac:dyDescent="0.25">
      <c r="A212" s="1">
        <v>31959</v>
      </c>
      <c r="B212">
        <v>19.61666666667</v>
      </c>
    </row>
    <row r="213" spans="1:2" x14ac:dyDescent="0.25">
      <c r="A213" s="1">
        <v>31990</v>
      </c>
      <c r="B213">
        <v>18.816666666669999</v>
      </c>
    </row>
    <row r="214" spans="1:2" x14ac:dyDescent="0.25">
      <c r="A214" s="1">
        <v>32021</v>
      </c>
      <c r="B214">
        <v>18.283333333329999</v>
      </c>
    </row>
    <row r="215" spans="1:2" x14ac:dyDescent="0.25">
      <c r="A215" s="1">
        <v>32051</v>
      </c>
      <c r="B215">
        <v>18.566666666669999</v>
      </c>
    </row>
    <row r="216" spans="1:2" x14ac:dyDescent="0.25">
      <c r="A216" s="1">
        <v>32082</v>
      </c>
      <c r="B216">
        <v>17.75</v>
      </c>
    </row>
    <row r="217" spans="1:2" x14ac:dyDescent="0.25">
      <c r="A217" s="1">
        <v>32112</v>
      </c>
      <c r="B217">
        <v>16.63333333333</v>
      </c>
    </row>
    <row r="218" spans="1:2" x14ac:dyDescent="0.25">
      <c r="A218" s="1">
        <v>32143</v>
      </c>
      <c r="B218">
        <v>16.466666666670001</v>
      </c>
    </row>
    <row r="219" spans="1:2" x14ac:dyDescent="0.25">
      <c r="A219" s="1">
        <v>32174</v>
      </c>
      <c r="B219">
        <v>15.85</v>
      </c>
    </row>
    <row r="220" spans="1:2" x14ac:dyDescent="0.25">
      <c r="A220" s="1">
        <v>32203</v>
      </c>
      <c r="B220">
        <v>14.783333333330001</v>
      </c>
    </row>
    <row r="221" spans="1:2" x14ac:dyDescent="0.25">
      <c r="A221" s="1">
        <v>32234</v>
      </c>
      <c r="B221">
        <v>16.466666666670001</v>
      </c>
    </row>
    <row r="222" spans="1:2" x14ac:dyDescent="0.25">
      <c r="A222" s="1">
        <v>32264</v>
      </c>
      <c r="B222">
        <v>16.216666666670001</v>
      </c>
    </row>
    <row r="223" spans="1:2" x14ac:dyDescent="0.25">
      <c r="A223" s="1">
        <v>32295</v>
      </c>
      <c r="B223">
        <v>15.33333333333</v>
      </c>
    </row>
    <row r="224" spans="1:2" x14ac:dyDescent="0.25">
      <c r="A224" s="1">
        <v>32325</v>
      </c>
      <c r="B224">
        <v>14.48333333333</v>
      </c>
    </row>
    <row r="225" spans="1:2" x14ac:dyDescent="0.25">
      <c r="A225" s="1">
        <v>32356</v>
      </c>
      <c r="B225">
        <v>14.55</v>
      </c>
    </row>
    <row r="226" spans="1:2" x14ac:dyDescent="0.25">
      <c r="A226" s="1">
        <v>32387</v>
      </c>
      <c r="B226">
        <v>13.1</v>
      </c>
    </row>
    <row r="227" spans="1:2" x14ac:dyDescent="0.25">
      <c r="A227" s="1">
        <v>32417</v>
      </c>
      <c r="B227">
        <v>12.183333333329999</v>
      </c>
    </row>
    <row r="228" spans="1:2" x14ac:dyDescent="0.25">
      <c r="A228" s="1">
        <v>32448</v>
      </c>
      <c r="B228">
        <v>12.533333333330001</v>
      </c>
    </row>
    <row r="229" spans="1:2" x14ac:dyDescent="0.25">
      <c r="A229" s="1">
        <v>32478</v>
      </c>
      <c r="B229">
        <v>14.65</v>
      </c>
    </row>
    <row r="230" spans="1:2" x14ac:dyDescent="0.25">
      <c r="A230" s="1">
        <v>32509</v>
      </c>
      <c r="B230">
        <v>16.483333333329998</v>
      </c>
    </row>
    <row r="231" spans="1:2" x14ac:dyDescent="0.25">
      <c r="A231" s="1">
        <v>32540</v>
      </c>
      <c r="B231">
        <v>16.350000000000001</v>
      </c>
    </row>
    <row r="232" spans="1:2" x14ac:dyDescent="0.25">
      <c r="A232" s="1">
        <v>32568</v>
      </c>
      <c r="B232">
        <v>18.033333333329999</v>
      </c>
    </row>
    <row r="233" spans="1:2" x14ac:dyDescent="0.25">
      <c r="A233" s="1">
        <v>32599</v>
      </c>
      <c r="B233">
        <v>19.2</v>
      </c>
    </row>
    <row r="234" spans="1:2" x14ac:dyDescent="0.25">
      <c r="A234" s="1">
        <v>32629</v>
      </c>
      <c r="B234">
        <v>18.016666666670002</v>
      </c>
    </row>
    <row r="235" spans="1:2" x14ac:dyDescent="0.25">
      <c r="A235" s="1">
        <v>32660</v>
      </c>
      <c r="B235">
        <v>17.63333333333</v>
      </c>
    </row>
    <row r="236" spans="1:2" x14ac:dyDescent="0.25">
      <c r="A236" s="1">
        <v>32690</v>
      </c>
      <c r="B236">
        <v>17.66666666667</v>
      </c>
    </row>
    <row r="237" spans="1:2" x14ac:dyDescent="0.25">
      <c r="A237" s="1">
        <v>32721</v>
      </c>
      <c r="B237">
        <v>16.88333333333</v>
      </c>
    </row>
    <row r="238" spans="1:2" x14ac:dyDescent="0.25">
      <c r="A238" s="1">
        <v>32752</v>
      </c>
      <c r="B238">
        <v>17.66666666667</v>
      </c>
    </row>
    <row r="239" spans="1:2" x14ac:dyDescent="0.25">
      <c r="A239" s="1">
        <v>32782</v>
      </c>
      <c r="B239">
        <v>18.41666666667</v>
      </c>
    </row>
    <row r="240" spans="1:2" x14ac:dyDescent="0.25">
      <c r="A240" s="1">
        <v>32813</v>
      </c>
      <c r="B240">
        <v>18.36666666667</v>
      </c>
    </row>
    <row r="241" spans="1:2" x14ac:dyDescent="0.25">
      <c r="A241" s="1">
        <v>32843</v>
      </c>
      <c r="B241">
        <v>19.350000000000001</v>
      </c>
    </row>
    <row r="242" spans="1:2" x14ac:dyDescent="0.25">
      <c r="A242" s="1">
        <v>32874</v>
      </c>
      <c r="B242">
        <v>20.350000000000001</v>
      </c>
    </row>
    <row r="243" spans="1:2" x14ac:dyDescent="0.25">
      <c r="A243" s="1">
        <v>32905</v>
      </c>
      <c r="B243">
        <v>19.600000000000001</v>
      </c>
    </row>
    <row r="244" spans="1:2" x14ac:dyDescent="0.25">
      <c r="A244" s="1">
        <v>32933</v>
      </c>
      <c r="B244">
        <v>18.216666666670001</v>
      </c>
    </row>
    <row r="245" spans="1:2" x14ac:dyDescent="0.25">
      <c r="A245" s="1">
        <v>32964</v>
      </c>
      <c r="B245">
        <v>16.55</v>
      </c>
    </row>
    <row r="246" spans="1:2" x14ac:dyDescent="0.25">
      <c r="A246" s="1">
        <v>32994</v>
      </c>
      <c r="B246">
        <v>16.58333333333</v>
      </c>
    </row>
    <row r="247" spans="1:2" x14ac:dyDescent="0.25">
      <c r="A247" s="1">
        <v>33025</v>
      </c>
      <c r="B247">
        <v>15.26666666667</v>
      </c>
    </row>
    <row r="248" spans="1:2" x14ac:dyDescent="0.25">
      <c r="A248" s="1">
        <v>33055</v>
      </c>
      <c r="B248">
        <v>17.16666666667</v>
      </c>
    </row>
    <row r="249" spans="1:2" x14ac:dyDescent="0.25">
      <c r="A249" s="1">
        <v>33086</v>
      </c>
      <c r="B249">
        <v>26.4</v>
      </c>
    </row>
    <row r="250" spans="1:2" x14ac:dyDescent="0.25">
      <c r="A250" s="1">
        <v>33117</v>
      </c>
      <c r="B250">
        <v>32.700000000000003</v>
      </c>
    </row>
    <row r="251" spans="1:2" x14ac:dyDescent="0.25">
      <c r="A251" s="1">
        <v>33147</v>
      </c>
      <c r="B251">
        <v>34.5</v>
      </c>
    </row>
    <row r="252" spans="1:2" x14ac:dyDescent="0.25">
      <c r="A252" s="1">
        <v>33178</v>
      </c>
      <c r="B252">
        <v>31.08333333333</v>
      </c>
    </row>
    <row r="253" spans="1:2" x14ac:dyDescent="0.25">
      <c r="A253" s="1">
        <v>33208</v>
      </c>
      <c r="B253">
        <v>26.13333333333</v>
      </c>
    </row>
    <row r="254" spans="1:2" x14ac:dyDescent="0.25">
      <c r="A254" s="1">
        <v>33239</v>
      </c>
      <c r="B254">
        <v>22.58333333333</v>
      </c>
    </row>
    <row r="255" spans="1:2" x14ac:dyDescent="0.25">
      <c r="A255" s="1">
        <v>33270</v>
      </c>
      <c r="B255">
        <v>18.13333333333</v>
      </c>
    </row>
    <row r="256" spans="1:2" x14ac:dyDescent="0.25">
      <c r="A256" s="1">
        <v>33298</v>
      </c>
      <c r="B256">
        <v>18.066666666669999</v>
      </c>
    </row>
    <row r="257" spans="1:2" x14ac:dyDescent="0.25">
      <c r="A257" s="1">
        <v>33329</v>
      </c>
      <c r="B257">
        <v>18.466666666670001</v>
      </c>
    </row>
    <row r="258" spans="1:2" x14ac:dyDescent="0.25">
      <c r="A258" s="1">
        <v>33359</v>
      </c>
      <c r="B258">
        <v>18.816666666669999</v>
      </c>
    </row>
    <row r="259" spans="1:2" x14ac:dyDescent="0.25">
      <c r="A259" s="1">
        <v>33390</v>
      </c>
      <c r="B259">
        <v>17.933333333330001</v>
      </c>
    </row>
    <row r="260" spans="1:2" x14ac:dyDescent="0.25">
      <c r="A260" s="1">
        <v>33420</v>
      </c>
      <c r="B260">
        <v>19.05</v>
      </c>
    </row>
    <row r="261" spans="1:2" x14ac:dyDescent="0.25">
      <c r="A261" s="1">
        <v>33451</v>
      </c>
      <c r="B261">
        <v>19.36666666667</v>
      </c>
    </row>
    <row r="262" spans="1:2" x14ac:dyDescent="0.25">
      <c r="A262" s="1">
        <v>33482</v>
      </c>
      <c r="B262">
        <v>20.05</v>
      </c>
    </row>
    <row r="263" spans="1:2" x14ac:dyDescent="0.25">
      <c r="A263" s="1">
        <v>33512</v>
      </c>
      <c r="B263">
        <v>21.466666666670001</v>
      </c>
    </row>
    <row r="264" spans="1:2" x14ac:dyDescent="0.25">
      <c r="A264" s="1">
        <v>33543</v>
      </c>
      <c r="B264">
        <v>20.766666666670002</v>
      </c>
    </row>
    <row r="265" spans="1:2" x14ac:dyDescent="0.25">
      <c r="A265" s="1">
        <v>33573</v>
      </c>
      <c r="B265">
        <v>17.75</v>
      </c>
    </row>
    <row r="266" spans="1:2" x14ac:dyDescent="0.25">
      <c r="A266" s="1">
        <v>33604</v>
      </c>
      <c r="B266">
        <v>17.38333333333</v>
      </c>
    </row>
    <row r="267" spans="1:2" x14ac:dyDescent="0.25">
      <c r="A267" s="1">
        <v>33635</v>
      </c>
      <c r="B267">
        <v>17.61666666667</v>
      </c>
    </row>
    <row r="268" spans="1:2" x14ac:dyDescent="0.25">
      <c r="A268" s="1">
        <v>33664</v>
      </c>
      <c r="B268">
        <v>17.45</v>
      </c>
    </row>
    <row r="269" spans="1:2" x14ac:dyDescent="0.25">
      <c r="A269" s="1">
        <v>33695</v>
      </c>
      <c r="B269">
        <v>18.63333333333</v>
      </c>
    </row>
    <row r="270" spans="1:2" x14ac:dyDescent="0.25">
      <c r="A270" s="1">
        <v>33725</v>
      </c>
      <c r="B270">
        <v>19.5</v>
      </c>
    </row>
    <row r="271" spans="1:2" x14ac:dyDescent="0.25">
      <c r="A271" s="1">
        <v>33756</v>
      </c>
      <c r="B271">
        <v>20.83333333333</v>
      </c>
    </row>
    <row r="272" spans="1:2" x14ac:dyDescent="0.25">
      <c r="A272" s="1">
        <v>33786</v>
      </c>
      <c r="B272">
        <v>20.16666666667</v>
      </c>
    </row>
    <row r="273" spans="1:2" x14ac:dyDescent="0.25">
      <c r="A273" s="1">
        <v>33817</v>
      </c>
      <c r="B273">
        <v>19.61666666667</v>
      </c>
    </row>
    <row r="274" spans="1:2" x14ac:dyDescent="0.25">
      <c r="A274" s="1">
        <v>33848</v>
      </c>
      <c r="B274">
        <v>20.149999999999999</v>
      </c>
    </row>
    <row r="275" spans="1:2" x14ac:dyDescent="0.25">
      <c r="A275" s="1">
        <v>33878</v>
      </c>
      <c r="B275">
        <v>20.08333333333</v>
      </c>
    </row>
    <row r="276" spans="1:2" x14ac:dyDescent="0.25">
      <c r="A276" s="1">
        <v>33909</v>
      </c>
      <c r="B276">
        <v>18.88333333333</v>
      </c>
    </row>
    <row r="277" spans="1:2" x14ac:dyDescent="0.25">
      <c r="A277" s="1">
        <v>33939</v>
      </c>
      <c r="B277">
        <v>17.933333333330001</v>
      </c>
    </row>
    <row r="278" spans="1:2" x14ac:dyDescent="0.25">
      <c r="A278" s="1">
        <v>33970</v>
      </c>
      <c r="B278">
        <v>17.216666666670001</v>
      </c>
    </row>
    <row r="279" spans="1:2" x14ac:dyDescent="0.25">
      <c r="A279" s="1">
        <v>34001</v>
      </c>
      <c r="B279">
        <v>18.16666666667</v>
      </c>
    </row>
    <row r="280" spans="1:2" x14ac:dyDescent="0.25">
      <c r="A280" s="1">
        <v>34029</v>
      </c>
      <c r="B280">
        <v>18.466666666670001</v>
      </c>
    </row>
    <row r="281" spans="1:2" x14ac:dyDescent="0.25">
      <c r="A281" s="1">
        <v>34060</v>
      </c>
      <c r="B281">
        <v>18.433333333330001</v>
      </c>
    </row>
    <row r="282" spans="1:2" x14ac:dyDescent="0.25">
      <c r="A282" s="1">
        <v>34090</v>
      </c>
      <c r="B282">
        <v>18.16666666667</v>
      </c>
    </row>
    <row r="283" spans="1:2" x14ac:dyDescent="0.25">
      <c r="A283" s="1">
        <v>34121</v>
      </c>
      <c r="B283">
        <v>17.466666666670001</v>
      </c>
    </row>
    <row r="284" spans="1:2" x14ac:dyDescent="0.25">
      <c r="A284" s="1">
        <v>34151</v>
      </c>
      <c r="B284">
        <v>16.316666666669999</v>
      </c>
    </row>
    <row r="285" spans="1:2" x14ac:dyDescent="0.25">
      <c r="A285" s="1">
        <v>34182</v>
      </c>
      <c r="B285">
        <v>16.483333333329998</v>
      </c>
    </row>
    <row r="286" spans="1:2" x14ac:dyDescent="0.25">
      <c r="A286" s="1">
        <v>34213</v>
      </c>
      <c r="B286">
        <v>15.9</v>
      </c>
    </row>
    <row r="287" spans="1:2" x14ac:dyDescent="0.25">
      <c r="A287" s="1">
        <v>34243</v>
      </c>
      <c r="B287">
        <v>16.516666666670002</v>
      </c>
    </row>
    <row r="288" spans="1:2" x14ac:dyDescent="0.25">
      <c r="A288" s="1">
        <v>34274</v>
      </c>
      <c r="B288">
        <v>15.2</v>
      </c>
    </row>
    <row r="289" spans="1:2" x14ac:dyDescent="0.25">
      <c r="A289" s="1">
        <v>34304</v>
      </c>
      <c r="B289">
        <v>13.76666666667</v>
      </c>
    </row>
    <row r="290" spans="1:2" x14ac:dyDescent="0.25">
      <c r="A290" s="1">
        <v>34335</v>
      </c>
      <c r="B290">
        <v>14.13333333333</v>
      </c>
    </row>
    <row r="291" spans="1:2" x14ac:dyDescent="0.25">
      <c r="A291" s="1">
        <v>34366</v>
      </c>
      <c r="B291">
        <v>13.783333333330001</v>
      </c>
    </row>
    <row r="292" spans="1:2" x14ac:dyDescent="0.25">
      <c r="A292" s="1">
        <v>34394</v>
      </c>
      <c r="B292">
        <v>13.61666666667</v>
      </c>
    </row>
    <row r="293" spans="1:2" x14ac:dyDescent="0.25">
      <c r="A293" s="1">
        <v>34425</v>
      </c>
      <c r="B293">
        <v>15.08333333333</v>
      </c>
    </row>
    <row r="294" spans="1:2" x14ac:dyDescent="0.25">
      <c r="A294" s="1">
        <v>34455</v>
      </c>
      <c r="B294">
        <v>16.283333333329999</v>
      </c>
    </row>
    <row r="295" spans="1:2" x14ac:dyDescent="0.25">
      <c r="A295" s="1">
        <v>34486</v>
      </c>
      <c r="B295">
        <v>17.16666666667</v>
      </c>
    </row>
    <row r="296" spans="1:2" x14ac:dyDescent="0.25">
      <c r="A296" s="1">
        <v>34516</v>
      </c>
      <c r="B296">
        <v>17.88333333333</v>
      </c>
    </row>
    <row r="297" spans="1:2" x14ac:dyDescent="0.25">
      <c r="A297" s="1">
        <v>34547</v>
      </c>
      <c r="B297">
        <v>17</v>
      </c>
    </row>
    <row r="298" spans="1:2" x14ac:dyDescent="0.25">
      <c r="A298" s="1">
        <v>34578</v>
      </c>
      <c r="B298">
        <v>16.2</v>
      </c>
    </row>
    <row r="299" spans="1:2" x14ac:dyDescent="0.25">
      <c r="A299" s="1">
        <v>34608</v>
      </c>
      <c r="B299">
        <v>16.466666666670001</v>
      </c>
    </row>
    <row r="300" spans="1:2" x14ac:dyDescent="0.25">
      <c r="A300" s="1">
        <v>34639</v>
      </c>
      <c r="B300">
        <v>17.08333333333</v>
      </c>
    </row>
    <row r="301" spans="1:2" x14ac:dyDescent="0.25">
      <c r="A301" s="1">
        <v>34669</v>
      </c>
      <c r="B301">
        <v>15.94</v>
      </c>
    </row>
    <row r="302" spans="1:2" x14ac:dyDescent="0.25">
      <c r="A302" s="1">
        <v>34700</v>
      </c>
      <c r="B302">
        <v>16.899999999999999</v>
      </c>
    </row>
    <row r="303" spans="1:2" x14ac:dyDescent="0.25">
      <c r="A303" s="1">
        <v>34731</v>
      </c>
      <c r="B303">
        <v>17.41666666667</v>
      </c>
    </row>
    <row r="304" spans="1:2" x14ac:dyDescent="0.25">
      <c r="A304" s="1">
        <v>34759</v>
      </c>
      <c r="B304">
        <v>17.34666666667</v>
      </c>
    </row>
    <row r="305" spans="1:2" x14ac:dyDescent="0.25">
      <c r="A305" s="1">
        <v>34790</v>
      </c>
      <c r="B305">
        <v>18.646666666670001</v>
      </c>
    </row>
    <row r="306" spans="1:2" x14ac:dyDescent="0.25">
      <c r="A306" s="1">
        <v>34820</v>
      </c>
      <c r="B306">
        <v>18.42333333333</v>
      </c>
    </row>
    <row r="307" spans="1:2" x14ac:dyDescent="0.25">
      <c r="A307" s="1">
        <v>34851</v>
      </c>
      <c r="B307">
        <v>17.363333333330001</v>
      </c>
    </row>
    <row r="308" spans="1:2" x14ac:dyDescent="0.25">
      <c r="A308" s="1">
        <v>34881</v>
      </c>
      <c r="B308">
        <v>16.08333333333</v>
      </c>
    </row>
    <row r="309" spans="1:2" x14ac:dyDescent="0.25">
      <c r="A309" s="1">
        <v>34912</v>
      </c>
      <c r="B309">
        <v>16.466666666670001</v>
      </c>
    </row>
    <row r="310" spans="1:2" x14ac:dyDescent="0.25">
      <c r="A310" s="1">
        <v>34943</v>
      </c>
      <c r="B310">
        <v>16.82</v>
      </c>
    </row>
    <row r="311" spans="1:2" x14ac:dyDescent="0.25">
      <c r="A311" s="1">
        <v>34973</v>
      </c>
      <c r="B311">
        <v>16.123333333329999</v>
      </c>
    </row>
    <row r="312" spans="1:2" x14ac:dyDescent="0.25">
      <c r="A312" s="1">
        <v>35004</v>
      </c>
      <c r="B312">
        <v>16.74333333333</v>
      </c>
    </row>
    <row r="313" spans="1:2" x14ac:dyDescent="0.25">
      <c r="A313" s="1">
        <v>35034</v>
      </c>
      <c r="B313">
        <v>17.86666666667</v>
      </c>
    </row>
    <row r="314" spans="1:2" x14ac:dyDescent="0.25">
      <c r="A314" s="1">
        <v>35065</v>
      </c>
      <c r="B314">
        <v>17.8</v>
      </c>
    </row>
    <row r="315" spans="1:2" x14ac:dyDescent="0.25">
      <c r="A315" s="1">
        <v>35096</v>
      </c>
      <c r="B315">
        <v>17.696666666670001</v>
      </c>
    </row>
    <row r="316" spans="1:2" x14ac:dyDescent="0.25">
      <c r="A316" s="1">
        <v>35125</v>
      </c>
      <c r="B316">
        <v>19.399999999999999</v>
      </c>
    </row>
    <row r="317" spans="1:2" x14ac:dyDescent="0.25">
      <c r="A317" s="1">
        <v>35156</v>
      </c>
      <c r="B317">
        <v>20.66</v>
      </c>
    </row>
    <row r="318" spans="1:2" x14ac:dyDescent="0.25">
      <c r="A318" s="1">
        <v>35186</v>
      </c>
      <c r="B318">
        <v>19.06333333333</v>
      </c>
    </row>
    <row r="319" spans="1:2" x14ac:dyDescent="0.25">
      <c r="A319" s="1">
        <v>35217</v>
      </c>
      <c r="B319">
        <v>18.513333333329999</v>
      </c>
    </row>
    <row r="320" spans="1:2" x14ac:dyDescent="0.25">
      <c r="A320" s="1">
        <v>35247</v>
      </c>
      <c r="B320">
        <v>19.586666666669998</v>
      </c>
    </row>
    <row r="321" spans="1:2" x14ac:dyDescent="0.25">
      <c r="A321" s="1">
        <v>35278</v>
      </c>
      <c r="B321">
        <v>20.440000000000001</v>
      </c>
    </row>
    <row r="322" spans="1:2" x14ac:dyDescent="0.25">
      <c r="A322" s="1">
        <v>35309</v>
      </c>
      <c r="B322">
        <v>22.25666666667</v>
      </c>
    </row>
    <row r="323" spans="1:2" x14ac:dyDescent="0.25">
      <c r="A323" s="1">
        <v>35339</v>
      </c>
      <c r="B323">
        <v>23.61</v>
      </c>
    </row>
    <row r="324" spans="1:2" x14ac:dyDescent="0.25">
      <c r="A324" s="1">
        <v>35370</v>
      </c>
      <c r="B324">
        <v>22.39</v>
      </c>
    </row>
    <row r="325" spans="1:2" x14ac:dyDescent="0.25">
      <c r="A325" s="1">
        <v>35400</v>
      </c>
      <c r="B325">
        <v>23.623333333329999</v>
      </c>
    </row>
    <row r="326" spans="1:2" x14ac:dyDescent="0.25">
      <c r="A326" s="1">
        <v>35431</v>
      </c>
      <c r="B326">
        <v>23.226666666669999</v>
      </c>
    </row>
    <row r="327" spans="1:2" x14ac:dyDescent="0.25">
      <c r="A327" s="1">
        <v>35462</v>
      </c>
      <c r="B327">
        <v>20.420000000000002</v>
      </c>
    </row>
    <row r="328" spans="1:2" x14ac:dyDescent="0.25">
      <c r="A328" s="1">
        <v>35490</v>
      </c>
      <c r="B328">
        <v>19.329999999999998</v>
      </c>
    </row>
    <row r="329" spans="1:2" x14ac:dyDescent="0.25">
      <c r="A329" s="1">
        <v>35521</v>
      </c>
      <c r="B329">
        <v>17.88</v>
      </c>
    </row>
    <row r="330" spans="1:2" x14ac:dyDescent="0.25">
      <c r="A330" s="1">
        <v>35551</v>
      </c>
      <c r="B330">
        <v>19.367433333329998</v>
      </c>
    </row>
    <row r="331" spans="1:2" x14ac:dyDescent="0.25">
      <c r="A331" s="1">
        <v>35582</v>
      </c>
      <c r="B331">
        <v>17.920000000000002</v>
      </c>
    </row>
    <row r="332" spans="1:2" x14ac:dyDescent="0.25">
      <c r="A332" s="1">
        <v>35612</v>
      </c>
      <c r="B332">
        <v>18.329999999999998</v>
      </c>
    </row>
    <row r="333" spans="1:2" x14ac:dyDescent="0.25">
      <c r="A333" s="1">
        <v>35643</v>
      </c>
      <c r="B333">
        <v>18.7</v>
      </c>
    </row>
    <row r="334" spans="1:2" x14ac:dyDescent="0.25">
      <c r="A334" s="1">
        <v>35674</v>
      </c>
      <c r="B334">
        <v>18.661746031749999</v>
      </c>
    </row>
    <row r="335" spans="1:2" x14ac:dyDescent="0.25">
      <c r="A335" s="1">
        <v>35704</v>
      </c>
      <c r="B335">
        <v>20.04</v>
      </c>
    </row>
    <row r="336" spans="1:2" x14ac:dyDescent="0.25">
      <c r="A336" s="1">
        <v>35735</v>
      </c>
      <c r="B336">
        <v>19.086666666669998</v>
      </c>
    </row>
    <row r="337" spans="1:2" x14ac:dyDescent="0.25">
      <c r="A337" s="1">
        <v>35765</v>
      </c>
      <c r="B337">
        <v>17.09</v>
      </c>
    </row>
    <row r="338" spans="1:2" x14ac:dyDescent="0.25">
      <c r="A338" s="1">
        <v>35796</v>
      </c>
      <c r="B338">
        <v>15</v>
      </c>
    </row>
    <row r="339" spans="1:2" x14ac:dyDescent="0.25">
      <c r="A339" s="1">
        <v>35827</v>
      </c>
      <c r="B339">
        <v>14.1</v>
      </c>
    </row>
    <row r="340" spans="1:2" x14ac:dyDescent="0.25">
      <c r="A340" s="1">
        <v>35855</v>
      </c>
      <c r="B340">
        <v>13.123333333330001</v>
      </c>
    </row>
    <row r="341" spans="1:2" x14ac:dyDescent="0.25">
      <c r="A341" s="1">
        <v>35886</v>
      </c>
      <c r="B341">
        <v>13.5</v>
      </c>
    </row>
    <row r="342" spans="1:2" x14ac:dyDescent="0.25">
      <c r="A342" s="1">
        <v>35916</v>
      </c>
      <c r="B342">
        <v>14.02666666667</v>
      </c>
    </row>
    <row r="343" spans="1:2" x14ac:dyDescent="0.25">
      <c r="A343" s="1">
        <v>35947</v>
      </c>
      <c r="B343">
        <v>12.478999999999999</v>
      </c>
    </row>
    <row r="344" spans="1:2" x14ac:dyDescent="0.25">
      <c r="A344" s="1">
        <v>35977</v>
      </c>
      <c r="B344">
        <v>12.69966666667</v>
      </c>
    </row>
    <row r="345" spans="1:2" x14ac:dyDescent="0.25">
      <c r="A345" s="1">
        <v>36008</v>
      </c>
      <c r="B345">
        <v>12.487966666669999</v>
      </c>
    </row>
    <row r="346" spans="1:2" x14ac:dyDescent="0.25">
      <c r="A346" s="1">
        <v>36039</v>
      </c>
      <c r="B346">
        <v>13.80333333333</v>
      </c>
    </row>
    <row r="347" spans="1:2" x14ac:dyDescent="0.25">
      <c r="A347" s="1">
        <v>36069</v>
      </c>
      <c r="B347">
        <v>13.263333333329999</v>
      </c>
    </row>
    <row r="348" spans="1:2" x14ac:dyDescent="0.25">
      <c r="A348" s="1">
        <v>36100</v>
      </c>
      <c r="B348">
        <v>11.88</v>
      </c>
    </row>
    <row r="349" spans="1:2" x14ac:dyDescent="0.25">
      <c r="A349" s="1">
        <v>36130</v>
      </c>
      <c r="B349">
        <v>10.41</v>
      </c>
    </row>
    <row r="350" spans="1:2" x14ac:dyDescent="0.25">
      <c r="A350" s="1">
        <v>36161</v>
      </c>
      <c r="B350">
        <v>11.443333333329999</v>
      </c>
    </row>
    <row r="351" spans="1:2" x14ac:dyDescent="0.25">
      <c r="A351" s="1">
        <v>36192</v>
      </c>
      <c r="B351">
        <v>10.75333333333</v>
      </c>
    </row>
    <row r="352" spans="1:2" x14ac:dyDescent="0.25">
      <c r="A352" s="1">
        <v>36220</v>
      </c>
      <c r="B352">
        <v>13.16666666667</v>
      </c>
    </row>
    <row r="353" spans="1:2" x14ac:dyDescent="0.25">
      <c r="A353" s="1">
        <v>36251</v>
      </c>
      <c r="B353">
        <v>15.86666666667</v>
      </c>
    </row>
    <row r="354" spans="1:2" x14ac:dyDescent="0.25">
      <c r="A354" s="1">
        <v>36281</v>
      </c>
      <c r="B354">
        <v>16.06333333333</v>
      </c>
    </row>
    <row r="355" spans="1:2" x14ac:dyDescent="0.25">
      <c r="A355" s="1">
        <v>36312</v>
      </c>
      <c r="B355">
        <v>16.393333333329998</v>
      </c>
    </row>
    <row r="356" spans="1:2" x14ac:dyDescent="0.25">
      <c r="A356" s="1">
        <v>36342</v>
      </c>
      <c r="B356">
        <v>18.986666666670001</v>
      </c>
    </row>
    <row r="357" spans="1:2" x14ac:dyDescent="0.25">
      <c r="A357" s="1">
        <v>36373</v>
      </c>
      <c r="B357">
        <v>20.27</v>
      </c>
    </row>
    <row r="358" spans="1:2" x14ac:dyDescent="0.25">
      <c r="A358" s="1">
        <v>36404</v>
      </c>
      <c r="B358">
        <v>22.7</v>
      </c>
    </row>
    <row r="359" spans="1:2" x14ac:dyDescent="0.25">
      <c r="A359" s="1">
        <v>36434</v>
      </c>
      <c r="B359">
        <v>21.95</v>
      </c>
    </row>
    <row r="360" spans="1:2" x14ac:dyDescent="0.25">
      <c r="A360" s="1">
        <v>36465</v>
      </c>
      <c r="B360">
        <v>24.163333333330002</v>
      </c>
    </row>
    <row r="361" spans="1:2" x14ac:dyDescent="0.25">
      <c r="A361" s="1">
        <v>36495</v>
      </c>
      <c r="B361">
        <v>25.1</v>
      </c>
    </row>
    <row r="362" spans="1:2" x14ac:dyDescent="0.25">
      <c r="A362" s="1">
        <v>36526</v>
      </c>
      <c r="B362">
        <v>25.31</v>
      </c>
    </row>
    <row r="363" spans="1:2" x14ac:dyDescent="0.25">
      <c r="A363" s="1">
        <v>36557</v>
      </c>
      <c r="B363">
        <v>27.220966666670002</v>
      </c>
    </row>
    <row r="364" spans="1:2" x14ac:dyDescent="0.25">
      <c r="A364" s="1">
        <v>36586</v>
      </c>
      <c r="B364">
        <v>27.49</v>
      </c>
    </row>
    <row r="365" spans="1:2" x14ac:dyDescent="0.25">
      <c r="A365" s="1">
        <v>36617</v>
      </c>
      <c r="B365">
        <v>23.47</v>
      </c>
    </row>
    <row r="366" spans="1:2" x14ac:dyDescent="0.25">
      <c r="A366" s="1">
        <v>36647</v>
      </c>
      <c r="B366">
        <v>27.18666666667</v>
      </c>
    </row>
    <row r="367" spans="1:2" x14ac:dyDescent="0.25">
      <c r="A367" s="1">
        <v>36678</v>
      </c>
      <c r="B367">
        <v>29.620766666670001</v>
      </c>
    </row>
    <row r="368" spans="1:2" x14ac:dyDescent="0.25">
      <c r="A368" s="1">
        <v>36708</v>
      </c>
      <c r="B368">
        <v>28.176666666669998</v>
      </c>
    </row>
    <row r="369" spans="1:2" x14ac:dyDescent="0.25">
      <c r="A369" s="1">
        <v>36739</v>
      </c>
      <c r="B369">
        <v>29.262899999999998</v>
      </c>
    </row>
    <row r="370" spans="1:2" x14ac:dyDescent="0.25">
      <c r="A370" s="1">
        <v>36770</v>
      </c>
      <c r="B370">
        <v>32.082833333330001</v>
      </c>
    </row>
    <row r="371" spans="1:2" x14ac:dyDescent="0.25">
      <c r="A371" s="1">
        <v>36800</v>
      </c>
      <c r="B371">
        <v>31.40016666667</v>
      </c>
    </row>
    <row r="372" spans="1:2" x14ac:dyDescent="0.25">
      <c r="A372" s="1">
        <v>36831</v>
      </c>
      <c r="B372">
        <v>32.331000000000003</v>
      </c>
    </row>
    <row r="373" spans="1:2" x14ac:dyDescent="0.25">
      <c r="A373" s="1">
        <v>36861</v>
      </c>
      <c r="B373">
        <v>25.204666666670001</v>
      </c>
    </row>
    <row r="374" spans="1:2" x14ac:dyDescent="0.25">
      <c r="A374" s="1">
        <v>36892</v>
      </c>
      <c r="B374">
        <v>25.957272727269999</v>
      </c>
    </row>
    <row r="375" spans="1:2" x14ac:dyDescent="0.25">
      <c r="A375" s="1">
        <v>36923</v>
      </c>
      <c r="B375">
        <v>27.23883333333</v>
      </c>
    </row>
    <row r="376" spans="1:2" x14ac:dyDescent="0.25">
      <c r="A376" s="1">
        <v>36951</v>
      </c>
      <c r="B376">
        <v>25.02257575758</v>
      </c>
    </row>
    <row r="377" spans="1:2" x14ac:dyDescent="0.25">
      <c r="A377" s="1">
        <v>36982</v>
      </c>
      <c r="B377">
        <v>25.718</v>
      </c>
    </row>
    <row r="378" spans="1:2" x14ac:dyDescent="0.25">
      <c r="A378" s="1">
        <v>37012</v>
      </c>
      <c r="B378">
        <v>27.546825396829998</v>
      </c>
    </row>
    <row r="379" spans="1:2" x14ac:dyDescent="0.25">
      <c r="A379" s="1">
        <v>37043</v>
      </c>
      <c r="B379">
        <v>26.966031746030001</v>
      </c>
    </row>
    <row r="380" spans="1:2" x14ac:dyDescent="0.25">
      <c r="A380" s="1">
        <v>37073</v>
      </c>
      <c r="B380">
        <v>24.80367965368</v>
      </c>
    </row>
    <row r="381" spans="1:2" x14ac:dyDescent="0.25">
      <c r="A381" s="1">
        <v>37104</v>
      </c>
      <c r="B381">
        <v>25.821159420290002</v>
      </c>
    </row>
    <row r="382" spans="1:2" x14ac:dyDescent="0.25">
      <c r="A382" s="1">
        <v>37135</v>
      </c>
      <c r="B382">
        <v>25.207666666670001</v>
      </c>
    </row>
    <row r="383" spans="1:2" x14ac:dyDescent="0.25">
      <c r="A383" s="1">
        <v>37165</v>
      </c>
      <c r="B383">
        <v>20.731884057969999</v>
      </c>
    </row>
    <row r="384" spans="1:2" x14ac:dyDescent="0.25">
      <c r="A384" s="1">
        <v>37196</v>
      </c>
      <c r="B384">
        <v>18.688181818179999</v>
      </c>
    </row>
    <row r="385" spans="1:2" x14ac:dyDescent="0.25">
      <c r="A385" s="1">
        <v>37226</v>
      </c>
      <c r="B385">
        <v>18.51978947368</v>
      </c>
    </row>
    <row r="386" spans="1:2" x14ac:dyDescent="0.25">
      <c r="A386" s="1">
        <v>37257</v>
      </c>
      <c r="B386">
        <v>19.154812409809999</v>
      </c>
    </row>
    <row r="387" spans="1:2" x14ac:dyDescent="0.25">
      <c r="A387" s="1">
        <v>37288</v>
      </c>
      <c r="B387">
        <v>19.97523684211</v>
      </c>
    </row>
    <row r="388" spans="1:2" x14ac:dyDescent="0.25">
      <c r="A388" s="1">
        <v>37316</v>
      </c>
      <c r="B388">
        <v>23.64066666667</v>
      </c>
    </row>
    <row r="389" spans="1:2" x14ac:dyDescent="0.25">
      <c r="A389" s="1">
        <v>37347</v>
      </c>
      <c r="B389">
        <v>25.434242424240001</v>
      </c>
    </row>
    <row r="390" spans="1:2" x14ac:dyDescent="0.25">
      <c r="A390" s="1">
        <v>37377</v>
      </c>
      <c r="B390">
        <v>25.672345191040002</v>
      </c>
    </row>
    <row r="391" spans="1:2" x14ac:dyDescent="0.25">
      <c r="A391" s="1">
        <v>37408</v>
      </c>
      <c r="B391">
        <v>24.48805750487</v>
      </c>
    </row>
    <row r="392" spans="1:2" x14ac:dyDescent="0.25">
      <c r="A392" s="1">
        <v>37438</v>
      </c>
      <c r="B392">
        <v>25.754748102139999</v>
      </c>
    </row>
    <row r="393" spans="1:2" x14ac:dyDescent="0.25">
      <c r="A393" s="1">
        <v>37469</v>
      </c>
      <c r="B393">
        <v>26.775800865800001</v>
      </c>
    </row>
    <row r="394" spans="1:2" x14ac:dyDescent="0.25">
      <c r="A394" s="1">
        <v>37500</v>
      </c>
      <c r="B394">
        <v>28.280793650789999</v>
      </c>
    </row>
    <row r="395" spans="1:2" x14ac:dyDescent="0.25">
      <c r="A395" s="1">
        <v>37530</v>
      </c>
      <c r="B395">
        <v>27.526811594200002</v>
      </c>
    </row>
    <row r="396" spans="1:2" x14ac:dyDescent="0.25">
      <c r="A396" s="1">
        <v>37561</v>
      </c>
      <c r="B396">
        <v>24.542481203009999</v>
      </c>
    </row>
    <row r="397" spans="1:2" x14ac:dyDescent="0.25">
      <c r="A397" s="1">
        <v>37591</v>
      </c>
      <c r="B397">
        <v>27.88698412698</v>
      </c>
    </row>
    <row r="398" spans="1:2" x14ac:dyDescent="0.25">
      <c r="A398" s="1">
        <v>37622</v>
      </c>
      <c r="B398">
        <v>30.750317460320002</v>
      </c>
    </row>
    <row r="399" spans="1:2" x14ac:dyDescent="0.25">
      <c r="A399" s="1">
        <v>37653</v>
      </c>
      <c r="B399">
        <v>32.883377192979999</v>
      </c>
    </row>
    <row r="400" spans="1:2" x14ac:dyDescent="0.25">
      <c r="A400" s="1">
        <v>37681</v>
      </c>
      <c r="B400">
        <v>30.359206349210002</v>
      </c>
    </row>
    <row r="401" spans="1:2" x14ac:dyDescent="0.25">
      <c r="A401" s="1">
        <v>37712</v>
      </c>
      <c r="B401">
        <v>25.555968253970001</v>
      </c>
    </row>
    <row r="402" spans="1:2" x14ac:dyDescent="0.25">
      <c r="A402" s="1">
        <v>37742</v>
      </c>
      <c r="B402">
        <v>26.064912698410001</v>
      </c>
    </row>
    <row r="403" spans="1:2" x14ac:dyDescent="0.25">
      <c r="A403" s="1">
        <v>37773</v>
      </c>
      <c r="B403">
        <v>27.91714285714</v>
      </c>
    </row>
    <row r="404" spans="1:2" x14ac:dyDescent="0.25">
      <c r="A404" s="1">
        <v>37803</v>
      </c>
      <c r="B404">
        <v>28.591587615280002</v>
      </c>
    </row>
    <row r="405" spans="1:2" x14ac:dyDescent="0.25">
      <c r="A405" s="1">
        <v>37834</v>
      </c>
      <c r="B405">
        <v>29.675555555559999</v>
      </c>
    </row>
    <row r="406" spans="1:2" x14ac:dyDescent="0.25">
      <c r="A406" s="1">
        <v>37865</v>
      </c>
      <c r="B406">
        <v>26.882330447329998</v>
      </c>
    </row>
    <row r="407" spans="1:2" x14ac:dyDescent="0.25">
      <c r="A407" s="1">
        <v>37895</v>
      </c>
      <c r="B407">
        <v>29.014492753620001</v>
      </c>
    </row>
    <row r="408" spans="1:2" x14ac:dyDescent="0.25">
      <c r="A408" s="1">
        <v>37926</v>
      </c>
      <c r="B408">
        <v>29.122740740739999</v>
      </c>
    </row>
    <row r="409" spans="1:2" x14ac:dyDescent="0.25">
      <c r="A409" s="1">
        <v>37956</v>
      </c>
      <c r="B409">
        <v>29.969206349210001</v>
      </c>
    </row>
    <row r="410" spans="1:2" x14ac:dyDescent="0.25">
      <c r="A410" s="1">
        <v>37987</v>
      </c>
      <c r="B410">
        <v>31.367719298250002</v>
      </c>
    </row>
    <row r="411" spans="1:2" x14ac:dyDescent="0.25">
      <c r="A411" s="1">
        <v>38018</v>
      </c>
      <c r="B411">
        <v>31.331333333330001</v>
      </c>
    </row>
    <row r="412" spans="1:2" x14ac:dyDescent="0.25">
      <c r="A412" s="1">
        <v>38047</v>
      </c>
      <c r="B412">
        <v>33.665072463770002</v>
      </c>
    </row>
    <row r="413" spans="1:2" x14ac:dyDescent="0.25">
      <c r="A413" s="1">
        <v>38078</v>
      </c>
      <c r="B413">
        <v>33.711392496389998</v>
      </c>
    </row>
    <row r="414" spans="1:2" x14ac:dyDescent="0.25">
      <c r="A414" s="1">
        <v>38108</v>
      </c>
      <c r="B414">
        <v>37.557898913949998</v>
      </c>
    </row>
    <row r="415" spans="1:2" x14ac:dyDescent="0.25">
      <c r="A415" s="1">
        <v>38139</v>
      </c>
      <c r="B415">
        <v>35.542741702740003</v>
      </c>
    </row>
    <row r="416" spans="1:2" x14ac:dyDescent="0.25">
      <c r="A416" s="1">
        <v>38169</v>
      </c>
      <c r="B416">
        <v>37.891998557000001</v>
      </c>
    </row>
    <row r="417" spans="1:2" x14ac:dyDescent="0.25">
      <c r="A417" s="1">
        <v>38200</v>
      </c>
      <c r="B417">
        <v>42.084069264070003</v>
      </c>
    </row>
    <row r="418" spans="1:2" x14ac:dyDescent="0.25">
      <c r="A418" s="1">
        <v>38231</v>
      </c>
      <c r="B418">
        <v>41.596825396829999</v>
      </c>
    </row>
    <row r="419" spans="1:2" x14ac:dyDescent="0.25">
      <c r="A419" s="1">
        <v>38261</v>
      </c>
      <c r="B419">
        <v>46.881111111110002</v>
      </c>
    </row>
    <row r="420" spans="1:2" x14ac:dyDescent="0.25">
      <c r="A420" s="1">
        <v>38292</v>
      </c>
      <c r="B420">
        <v>42.12554545455</v>
      </c>
    </row>
    <row r="421" spans="1:2" x14ac:dyDescent="0.25">
      <c r="A421" s="1">
        <v>38322</v>
      </c>
      <c r="B421">
        <v>39.044944444439999</v>
      </c>
    </row>
    <row r="422" spans="1:2" x14ac:dyDescent="0.25">
      <c r="A422" s="1">
        <v>38353</v>
      </c>
      <c r="B422">
        <v>42.97227777778</v>
      </c>
    </row>
    <row r="423" spans="1:2" x14ac:dyDescent="0.25">
      <c r="A423" s="1">
        <v>38384</v>
      </c>
      <c r="B423">
        <v>44.818210526320001</v>
      </c>
    </row>
    <row r="424" spans="1:2" x14ac:dyDescent="0.25">
      <c r="A424" s="1">
        <v>38412</v>
      </c>
      <c r="B424">
        <v>50.942878787879998</v>
      </c>
    </row>
    <row r="425" spans="1:2" x14ac:dyDescent="0.25">
      <c r="A425" s="1">
        <v>38443</v>
      </c>
      <c r="B425">
        <v>50.640476190480001</v>
      </c>
    </row>
    <row r="426" spans="1:2" x14ac:dyDescent="0.25">
      <c r="A426" s="1">
        <v>38473</v>
      </c>
      <c r="B426">
        <v>47.826572871570001</v>
      </c>
    </row>
    <row r="427" spans="1:2" x14ac:dyDescent="0.25">
      <c r="A427" s="1">
        <v>38504</v>
      </c>
      <c r="B427">
        <v>53.890303030299997</v>
      </c>
    </row>
    <row r="428" spans="1:2" x14ac:dyDescent="0.25">
      <c r="A428" s="1">
        <v>38534</v>
      </c>
      <c r="B428">
        <v>56.36580952381</v>
      </c>
    </row>
    <row r="429" spans="1:2" x14ac:dyDescent="0.25">
      <c r="A429" s="1">
        <v>38565</v>
      </c>
      <c r="B429">
        <v>61.890520421609999</v>
      </c>
    </row>
    <row r="430" spans="1:2" x14ac:dyDescent="0.25">
      <c r="A430" s="1">
        <v>38596</v>
      </c>
      <c r="B430">
        <v>61.687698412700001</v>
      </c>
    </row>
    <row r="431" spans="1:2" x14ac:dyDescent="0.25">
      <c r="A431" s="1">
        <v>38626</v>
      </c>
      <c r="B431">
        <v>58.18507936508</v>
      </c>
    </row>
    <row r="432" spans="1:2" x14ac:dyDescent="0.25">
      <c r="A432" s="1">
        <v>38657</v>
      </c>
      <c r="B432">
        <v>55.042825396829997</v>
      </c>
    </row>
    <row r="433" spans="1:2" x14ac:dyDescent="0.25">
      <c r="A433" s="1">
        <v>38687</v>
      </c>
      <c r="B433">
        <v>56.429642857140003</v>
      </c>
    </row>
    <row r="434" spans="1:2" x14ac:dyDescent="0.25">
      <c r="A434" s="1">
        <v>38718</v>
      </c>
      <c r="B434">
        <v>62.45703968254</v>
      </c>
    </row>
    <row r="435" spans="1:2" x14ac:dyDescent="0.25">
      <c r="A435" s="1">
        <v>38749</v>
      </c>
      <c r="B435">
        <v>59.704921052629999</v>
      </c>
    </row>
    <row r="436" spans="1:2" x14ac:dyDescent="0.25">
      <c r="A436" s="1">
        <v>38777</v>
      </c>
      <c r="B436">
        <v>60.929275362319999</v>
      </c>
    </row>
    <row r="437" spans="1:2" x14ac:dyDescent="0.25">
      <c r="A437" s="1">
        <v>38808</v>
      </c>
      <c r="B437">
        <v>67.970575048729998</v>
      </c>
    </row>
    <row r="438" spans="1:2" x14ac:dyDescent="0.25">
      <c r="A438" s="1">
        <v>38838</v>
      </c>
      <c r="B438">
        <v>68.675948616599996</v>
      </c>
    </row>
    <row r="439" spans="1:2" x14ac:dyDescent="0.25">
      <c r="A439" s="1">
        <v>38869</v>
      </c>
      <c r="B439">
        <v>68.290151515150001</v>
      </c>
    </row>
    <row r="440" spans="1:2" x14ac:dyDescent="0.25">
      <c r="A440" s="1">
        <v>38899</v>
      </c>
      <c r="B440">
        <v>72.450133667499998</v>
      </c>
    </row>
    <row r="441" spans="1:2" x14ac:dyDescent="0.25">
      <c r="A441" s="1">
        <v>38930</v>
      </c>
      <c r="B441">
        <v>71.811884057970005</v>
      </c>
    </row>
    <row r="442" spans="1:2" x14ac:dyDescent="0.25">
      <c r="A442" s="1">
        <v>38961</v>
      </c>
      <c r="B442">
        <v>62.121253968250002</v>
      </c>
    </row>
    <row r="443" spans="1:2" x14ac:dyDescent="0.25">
      <c r="A443" s="1">
        <v>38991</v>
      </c>
      <c r="B443">
        <v>57.910468975470003</v>
      </c>
    </row>
    <row r="444" spans="1:2" x14ac:dyDescent="0.25">
      <c r="A444" s="1">
        <v>39022</v>
      </c>
      <c r="B444">
        <v>58.143045454549998</v>
      </c>
    </row>
    <row r="445" spans="1:2" x14ac:dyDescent="0.25">
      <c r="A445" s="1">
        <v>39052</v>
      </c>
      <c r="B445">
        <v>60.994412280699997</v>
      </c>
    </row>
    <row r="446" spans="1:2" x14ac:dyDescent="0.25">
      <c r="A446" s="1">
        <v>39083</v>
      </c>
      <c r="B446">
        <v>53.516969696970001</v>
      </c>
    </row>
    <row r="447" spans="1:2" x14ac:dyDescent="0.25">
      <c r="A447" s="1">
        <v>39114</v>
      </c>
      <c r="B447">
        <v>57.5625</v>
      </c>
    </row>
    <row r="448" spans="1:2" x14ac:dyDescent="0.25">
      <c r="A448" s="1">
        <v>39142</v>
      </c>
      <c r="B448">
        <v>60.59984848485</v>
      </c>
    </row>
    <row r="449" spans="1:2" x14ac:dyDescent="0.25">
      <c r="A449" s="1">
        <v>39173</v>
      </c>
      <c r="B449">
        <v>65.057640350880007</v>
      </c>
    </row>
    <row r="450" spans="1:2" x14ac:dyDescent="0.25">
      <c r="A450" s="1">
        <v>39203</v>
      </c>
      <c r="B450">
        <v>65.157259552040003</v>
      </c>
    </row>
    <row r="451" spans="1:2" x14ac:dyDescent="0.25">
      <c r="A451" s="1">
        <v>39234</v>
      </c>
      <c r="B451">
        <v>68.188095238100004</v>
      </c>
    </row>
    <row r="452" spans="1:2" x14ac:dyDescent="0.25">
      <c r="A452" s="1">
        <v>39264</v>
      </c>
      <c r="B452">
        <v>73.601695526699999</v>
      </c>
    </row>
    <row r="453" spans="1:2" x14ac:dyDescent="0.25">
      <c r="A453" s="1">
        <v>39295</v>
      </c>
      <c r="B453">
        <v>70.126811594200007</v>
      </c>
    </row>
    <row r="454" spans="1:2" x14ac:dyDescent="0.25">
      <c r="A454" s="1">
        <v>39326</v>
      </c>
      <c r="B454">
        <v>76.76243859649</v>
      </c>
    </row>
    <row r="455" spans="1:2" x14ac:dyDescent="0.25">
      <c r="A455" s="1">
        <v>39356</v>
      </c>
      <c r="B455">
        <v>81.967246376809996</v>
      </c>
    </row>
    <row r="456" spans="1:2" x14ac:dyDescent="0.25">
      <c r="A456" s="1">
        <v>39387</v>
      </c>
      <c r="B456">
        <v>91.338261183260002</v>
      </c>
    </row>
    <row r="457" spans="1:2" x14ac:dyDescent="0.25">
      <c r="A457" s="1">
        <v>39417</v>
      </c>
      <c r="B457">
        <v>89.519941520469999</v>
      </c>
    </row>
    <row r="458" spans="1:2" x14ac:dyDescent="0.25">
      <c r="A458" s="1">
        <v>39448</v>
      </c>
      <c r="B458">
        <v>90.689935064940002</v>
      </c>
    </row>
    <row r="459" spans="1:2" x14ac:dyDescent="0.25">
      <c r="A459" s="1">
        <v>39479</v>
      </c>
      <c r="B459">
        <v>93.387590643270002</v>
      </c>
    </row>
    <row r="460" spans="1:2" x14ac:dyDescent="0.25">
      <c r="A460" s="1">
        <v>39508</v>
      </c>
      <c r="B460">
        <v>101.84283333333001</v>
      </c>
    </row>
    <row r="461" spans="1:2" x14ac:dyDescent="0.25">
      <c r="A461" s="1">
        <v>39539</v>
      </c>
      <c r="B461">
        <v>108.75818181818001</v>
      </c>
    </row>
    <row r="462" spans="1:2" x14ac:dyDescent="0.25">
      <c r="A462" s="1">
        <v>39569</v>
      </c>
      <c r="B462">
        <v>122.63260894661001</v>
      </c>
    </row>
    <row r="463" spans="1:2" x14ac:dyDescent="0.25">
      <c r="A463" s="1">
        <v>39600</v>
      </c>
      <c r="B463">
        <v>131.52111111111</v>
      </c>
    </row>
    <row r="464" spans="1:2" x14ac:dyDescent="0.25">
      <c r="A464" s="1">
        <v>39630</v>
      </c>
      <c r="B464">
        <v>132.82518445323001</v>
      </c>
    </row>
    <row r="465" spans="1:2" x14ac:dyDescent="0.25">
      <c r="A465" s="1">
        <v>39661</v>
      </c>
      <c r="B465">
        <v>114.56682539683</v>
      </c>
    </row>
    <row r="466" spans="1:2" x14ac:dyDescent="0.25">
      <c r="A466" s="1">
        <v>39692</v>
      </c>
      <c r="B466">
        <v>99.656767676770002</v>
      </c>
    </row>
    <row r="467" spans="1:2" x14ac:dyDescent="0.25">
      <c r="A467" s="1">
        <v>39722</v>
      </c>
      <c r="B467">
        <v>72.692753623190001</v>
      </c>
    </row>
    <row r="468" spans="1:2" x14ac:dyDescent="0.25">
      <c r="A468" s="1">
        <v>39753</v>
      </c>
      <c r="B468">
        <v>53.972728070179997</v>
      </c>
    </row>
    <row r="469" spans="1:2" x14ac:dyDescent="0.25">
      <c r="A469" s="1">
        <v>39783</v>
      </c>
      <c r="B469">
        <v>41.338924963929998</v>
      </c>
    </row>
    <row r="470" spans="1:2" x14ac:dyDescent="0.25">
      <c r="A470" s="1">
        <v>39814</v>
      </c>
      <c r="B470">
        <v>43.855214285709998</v>
      </c>
    </row>
    <row r="471" spans="1:2" x14ac:dyDescent="0.25">
      <c r="A471" s="1">
        <v>39845</v>
      </c>
      <c r="B471">
        <v>41.843675438600002</v>
      </c>
    </row>
    <row r="472" spans="1:2" x14ac:dyDescent="0.25">
      <c r="A472" s="1">
        <v>39873</v>
      </c>
      <c r="B472">
        <v>46.645303030299999</v>
      </c>
    </row>
    <row r="473" spans="1:2" x14ac:dyDescent="0.25">
      <c r="A473" s="1">
        <v>39904</v>
      </c>
      <c r="B473">
        <v>50.278095238100001</v>
      </c>
    </row>
    <row r="474" spans="1:2" x14ac:dyDescent="0.25">
      <c r="A474" s="1">
        <v>39934</v>
      </c>
      <c r="B474">
        <v>58.153888888890002</v>
      </c>
    </row>
    <row r="475" spans="1:2" x14ac:dyDescent="0.25">
      <c r="A475" s="1">
        <v>39965</v>
      </c>
      <c r="B475">
        <v>69.149696969700003</v>
      </c>
    </row>
    <row r="476" spans="1:2" x14ac:dyDescent="0.25">
      <c r="A476" s="1">
        <v>39995</v>
      </c>
      <c r="B476">
        <v>64.666673254279999</v>
      </c>
    </row>
    <row r="477" spans="1:2" x14ac:dyDescent="0.25">
      <c r="A477" s="1">
        <v>40026</v>
      </c>
      <c r="B477">
        <v>71.629682539680005</v>
      </c>
    </row>
    <row r="478" spans="1:2" x14ac:dyDescent="0.25">
      <c r="A478" s="1">
        <v>40057</v>
      </c>
      <c r="B478">
        <v>68.346111111110005</v>
      </c>
    </row>
    <row r="479" spans="1:2" x14ac:dyDescent="0.25">
      <c r="A479" s="1">
        <v>40087</v>
      </c>
      <c r="B479">
        <v>74.080606060609995</v>
      </c>
    </row>
    <row r="480" spans="1:2" x14ac:dyDescent="0.25">
      <c r="A480" s="1">
        <v>40118</v>
      </c>
      <c r="B480">
        <v>77.552301587299993</v>
      </c>
    </row>
    <row r="481" spans="1:2" x14ac:dyDescent="0.25">
      <c r="A481" s="1">
        <v>40148</v>
      </c>
      <c r="B481">
        <v>74.881818181819995</v>
      </c>
    </row>
    <row r="482" spans="1:2" x14ac:dyDescent="0.25">
      <c r="A482" s="1">
        <v>40179</v>
      </c>
      <c r="B482">
        <v>77.121087719299993</v>
      </c>
    </row>
    <row r="483" spans="1:2" x14ac:dyDescent="0.25">
      <c r="A483" s="1">
        <v>40210</v>
      </c>
      <c r="B483">
        <v>74.763015594539993</v>
      </c>
    </row>
    <row r="484" spans="1:2" x14ac:dyDescent="0.25">
      <c r="A484" s="1">
        <v>40238</v>
      </c>
      <c r="B484">
        <v>79.297681159419994</v>
      </c>
    </row>
    <row r="485" spans="1:2" x14ac:dyDescent="0.25">
      <c r="A485" s="1">
        <v>40269</v>
      </c>
      <c r="B485">
        <v>84.182857142860001</v>
      </c>
    </row>
    <row r="486" spans="1:2" x14ac:dyDescent="0.25">
      <c r="A486" s="1">
        <v>40299</v>
      </c>
      <c r="B486">
        <v>75.61831746032</v>
      </c>
    </row>
    <row r="487" spans="1:2" x14ac:dyDescent="0.25">
      <c r="A487" s="1">
        <v>40330</v>
      </c>
      <c r="B487">
        <v>74.724999999999994</v>
      </c>
    </row>
    <row r="488" spans="1:2" x14ac:dyDescent="0.25">
      <c r="A488" s="1">
        <v>40360</v>
      </c>
      <c r="B488">
        <v>74.579401154400003</v>
      </c>
    </row>
    <row r="489" spans="1:2" x14ac:dyDescent="0.25">
      <c r="A489" s="1">
        <v>40391</v>
      </c>
      <c r="B489">
        <v>75.826269841270005</v>
      </c>
    </row>
    <row r="490" spans="1:2" x14ac:dyDescent="0.25">
      <c r="A490" s="1">
        <v>40422</v>
      </c>
      <c r="B490">
        <v>76.116240981239997</v>
      </c>
    </row>
    <row r="491" spans="1:2" x14ac:dyDescent="0.25">
      <c r="A491" s="1">
        <v>40452</v>
      </c>
      <c r="B491">
        <v>81.719365079369993</v>
      </c>
    </row>
    <row r="492" spans="1:2" x14ac:dyDescent="0.25">
      <c r="A492" s="1">
        <v>40483</v>
      </c>
      <c r="B492">
        <v>84.53406349206</v>
      </c>
    </row>
    <row r="493" spans="1:2" x14ac:dyDescent="0.25">
      <c r="A493" s="1">
        <v>40513</v>
      </c>
      <c r="B493">
        <v>90.005961791830003</v>
      </c>
    </row>
    <row r="494" spans="1:2" x14ac:dyDescent="0.25">
      <c r="A494" s="1">
        <v>40544</v>
      </c>
      <c r="B494">
        <v>92.690595238100002</v>
      </c>
    </row>
    <row r="495" spans="1:2" x14ac:dyDescent="0.25">
      <c r="A495" s="1">
        <v>40575</v>
      </c>
      <c r="B495">
        <v>97.914192007799997</v>
      </c>
    </row>
    <row r="496" spans="1:2" x14ac:dyDescent="0.25">
      <c r="A496" s="1">
        <v>40603</v>
      </c>
      <c r="B496">
        <v>108.64521739129999</v>
      </c>
    </row>
    <row r="497" spans="1:2" x14ac:dyDescent="0.25">
      <c r="A497" s="1">
        <v>40634</v>
      </c>
      <c r="B497">
        <v>116.24316666667001</v>
      </c>
    </row>
    <row r="498" spans="1:2" x14ac:dyDescent="0.25">
      <c r="A498" s="1">
        <v>40664</v>
      </c>
      <c r="B498">
        <v>108.06851298701</v>
      </c>
    </row>
    <row r="499" spans="1:2" x14ac:dyDescent="0.25">
      <c r="A499" s="1">
        <v>40695</v>
      </c>
      <c r="B499">
        <v>105.84545454546</v>
      </c>
    </row>
    <row r="500" spans="1:2" x14ac:dyDescent="0.25">
      <c r="A500" s="1">
        <v>40725</v>
      </c>
      <c r="B500">
        <v>107.91661111111</v>
      </c>
    </row>
    <row r="501" spans="1:2" x14ac:dyDescent="0.25">
      <c r="A501" s="1">
        <v>40756</v>
      </c>
      <c r="B501">
        <v>100.48642512076999</v>
      </c>
    </row>
    <row r="502" spans="1:2" x14ac:dyDescent="0.25">
      <c r="A502" s="1">
        <v>40787</v>
      </c>
      <c r="B502">
        <v>100.81935064935</v>
      </c>
    </row>
    <row r="503" spans="1:2" x14ac:dyDescent="0.25">
      <c r="A503" s="1">
        <v>40817</v>
      </c>
      <c r="B503">
        <v>99.847753968250004</v>
      </c>
    </row>
    <row r="504" spans="1:2" x14ac:dyDescent="0.25">
      <c r="A504" s="1">
        <v>40848</v>
      </c>
      <c r="B504">
        <v>105.40501443001</v>
      </c>
    </row>
    <row r="505" spans="1:2" x14ac:dyDescent="0.25">
      <c r="A505" s="1">
        <v>40878</v>
      </c>
      <c r="B505">
        <v>104.23047619048</v>
      </c>
    </row>
    <row r="506" spans="1:2" x14ac:dyDescent="0.25">
      <c r="A506" s="1">
        <v>40909</v>
      </c>
      <c r="B506">
        <v>107.07457226399001</v>
      </c>
    </row>
    <row r="507" spans="1:2" x14ac:dyDescent="0.25">
      <c r="A507" s="1">
        <v>40940</v>
      </c>
      <c r="B507">
        <v>112.68752380952</v>
      </c>
    </row>
    <row r="508" spans="1:2" x14ac:dyDescent="0.25">
      <c r="A508" s="1">
        <v>40969</v>
      </c>
      <c r="B508">
        <v>117.785</v>
      </c>
    </row>
    <row r="509" spans="1:2" x14ac:dyDescent="0.25">
      <c r="A509" s="1">
        <v>41000</v>
      </c>
      <c r="B509">
        <v>113.66549999999999</v>
      </c>
    </row>
    <row r="510" spans="1:2" x14ac:dyDescent="0.25">
      <c r="A510" s="1">
        <v>41030</v>
      </c>
      <c r="B510">
        <v>104.0860342556</v>
      </c>
    </row>
    <row r="511" spans="1:2" x14ac:dyDescent="0.25">
      <c r="A511" s="1">
        <v>41061</v>
      </c>
      <c r="B511">
        <v>90.728253968250002</v>
      </c>
    </row>
    <row r="512" spans="1:2" x14ac:dyDescent="0.25">
      <c r="A512" s="1">
        <v>41091</v>
      </c>
      <c r="B512">
        <v>96.754112554109994</v>
      </c>
    </row>
    <row r="513" spans="1:2" x14ac:dyDescent="0.25">
      <c r="A513" s="1">
        <v>41122</v>
      </c>
      <c r="B513">
        <v>105.27363699103</v>
      </c>
    </row>
    <row r="514" spans="1:2" x14ac:dyDescent="0.25">
      <c r="A514" s="1">
        <v>41153</v>
      </c>
      <c r="B514">
        <v>106.28496491228</v>
      </c>
    </row>
    <row r="515" spans="1:2" x14ac:dyDescent="0.25">
      <c r="A515" s="1">
        <v>41183</v>
      </c>
      <c r="B515">
        <v>103.40786561265</v>
      </c>
    </row>
    <row r="516" spans="1:2" x14ac:dyDescent="0.25">
      <c r="A516" s="1">
        <v>41214</v>
      </c>
      <c r="B516">
        <v>101.17441558442</v>
      </c>
    </row>
    <row r="517" spans="1:2" x14ac:dyDescent="0.25">
      <c r="A517" s="1">
        <v>41244</v>
      </c>
      <c r="B517">
        <v>101.19366666667</v>
      </c>
    </row>
    <row r="518" spans="1:2" x14ac:dyDescent="0.25">
      <c r="A518" s="1">
        <v>41275</v>
      </c>
      <c r="B518">
        <v>105.10021645022</v>
      </c>
    </row>
    <row r="519" spans="1:2" x14ac:dyDescent="0.25">
      <c r="A519" s="1">
        <v>41306</v>
      </c>
      <c r="B519">
        <v>107.63743567252</v>
      </c>
    </row>
    <row r="520" spans="1:2" x14ac:dyDescent="0.25">
      <c r="A520" s="1">
        <v>41334</v>
      </c>
      <c r="B520">
        <v>102.52249999999999</v>
      </c>
    </row>
    <row r="521" spans="1:2" x14ac:dyDescent="0.25">
      <c r="A521" s="1">
        <v>41365</v>
      </c>
      <c r="B521">
        <v>98.851969696970002</v>
      </c>
    </row>
    <row r="522" spans="1:2" x14ac:dyDescent="0.25">
      <c r="A522" s="1">
        <v>41395</v>
      </c>
      <c r="B522">
        <v>99.366633414890003</v>
      </c>
    </row>
    <row r="523" spans="1:2" x14ac:dyDescent="0.25">
      <c r="A523" s="1">
        <v>41426</v>
      </c>
      <c r="B523">
        <v>99.742666666670004</v>
      </c>
    </row>
    <row r="524" spans="1:2" x14ac:dyDescent="0.25">
      <c r="A524" s="1">
        <v>41456</v>
      </c>
      <c r="B524">
        <v>105.25790513834001</v>
      </c>
    </row>
    <row r="525" spans="1:2" x14ac:dyDescent="0.25">
      <c r="A525" s="1">
        <v>41487</v>
      </c>
      <c r="B525">
        <v>108.15763636363999</v>
      </c>
    </row>
    <row r="526" spans="1:2" x14ac:dyDescent="0.25">
      <c r="A526" s="1">
        <v>41518</v>
      </c>
      <c r="B526">
        <v>108.75773015873</v>
      </c>
    </row>
    <row r="527" spans="1:2" x14ac:dyDescent="0.25">
      <c r="A527" s="1">
        <v>41548</v>
      </c>
      <c r="B527">
        <v>105.42713438734999</v>
      </c>
    </row>
    <row r="528" spans="1:2" x14ac:dyDescent="0.25">
      <c r="A528" s="1">
        <v>41579</v>
      </c>
      <c r="B528">
        <v>102.62649122806999</v>
      </c>
    </row>
    <row r="529" spans="1:2" x14ac:dyDescent="0.25">
      <c r="A529" s="1">
        <v>41609</v>
      </c>
      <c r="B529">
        <v>105.48165079365</v>
      </c>
    </row>
    <row r="530" spans="1:2" x14ac:dyDescent="0.25">
      <c r="A530" s="1">
        <v>41640</v>
      </c>
      <c r="B530">
        <v>102.09666666667</v>
      </c>
    </row>
    <row r="531" spans="1:2" x14ac:dyDescent="0.25">
      <c r="A531" s="1">
        <v>41671</v>
      </c>
      <c r="B531">
        <v>104.82666666666999</v>
      </c>
    </row>
    <row r="532" spans="1:2" x14ac:dyDescent="0.25">
      <c r="A532" s="1">
        <v>41699</v>
      </c>
      <c r="B532">
        <v>104.04</v>
      </c>
    </row>
    <row r="533" spans="1:2" x14ac:dyDescent="0.25">
      <c r="A533" s="1">
        <v>41730</v>
      </c>
      <c r="B533">
        <v>104.86666666667</v>
      </c>
    </row>
    <row r="534" spans="1:2" x14ac:dyDescent="0.25">
      <c r="A534" s="1">
        <v>41760</v>
      </c>
      <c r="B534">
        <v>105.71333333333</v>
      </c>
    </row>
    <row r="535" spans="1:2" x14ac:dyDescent="0.25">
      <c r="A535" s="1">
        <v>41791</v>
      </c>
      <c r="B535">
        <v>108.37333333333</v>
      </c>
    </row>
    <row r="536" spans="1:2" x14ac:dyDescent="0.25">
      <c r="A536" s="1">
        <v>41821</v>
      </c>
      <c r="B536">
        <v>105.22666666667</v>
      </c>
    </row>
    <row r="537" spans="1:2" x14ac:dyDescent="0.25">
      <c r="A537" s="1">
        <v>41852</v>
      </c>
      <c r="B537">
        <v>100.05</v>
      </c>
    </row>
    <row r="538" spans="1:2" x14ac:dyDescent="0.25">
      <c r="A538" s="1">
        <v>41883</v>
      </c>
      <c r="B538">
        <v>95.85</v>
      </c>
    </row>
    <row r="539" spans="1:2" x14ac:dyDescent="0.25">
      <c r="A539" s="1">
        <v>41913</v>
      </c>
      <c r="B539">
        <v>86.08</v>
      </c>
    </row>
    <row r="540" spans="1:2" x14ac:dyDescent="0.25">
      <c r="A540" s="1">
        <v>41944</v>
      </c>
      <c r="B540">
        <v>76.99333333333</v>
      </c>
    </row>
    <row r="541" spans="1:2" x14ac:dyDescent="0.25">
      <c r="A541" s="1">
        <v>41974</v>
      </c>
      <c r="B541">
        <v>60.703333333330001</v>
      </c>
    </row>
    <row r="542" spans="1:2" x14ac:dyDescent="0.25">
      <c r="A542" s="1">
        <v>42005</v>
      </c>
      <c r="B542">
        <v>47.106666666670002</v>
      </c>
    </row>
    <row r="543" spans="1:2" x14ac:dyDescent="0.25">
      <c r="A543" s="1">
        <v>42036</v>
      </c>
      <c r="B543">
        <v>54.79</v>
      </c>
    </row>
    <row r="544" spans="1:2" x14ac:dyDescent="0.25">
      <c r="A544" s="1">
        <v>42064</v>
      </c>
      <c r="B544">
        <v>52.82666666667</v>
      </c>
    </row>
    <row r="545" spans="1:2" x14ac:dyDescent="0.25">
      <c r="A545" s="1">
        <v>42095</v>
      </c>
      <c r="B545">
        <v>57.543333333329997</v>
      </c>
    </row>
    <row r="546" spans="1:2" x14ac:dyDescent="0.25">
      <c r="A546" s="1">
        <v>42125</v>
      </c>
      <c r="B546">
        <v>62.50666666667</v>
      </c>
    </row>
    <row r="547" spans="1:2" x14ac:dyDescent="0.25">
      <c r="A547" s="1">
        <v>42156</v>
      </c>
      <c r="B547">
        <v>61.306666666669997</v>
      </c>
    </row>
    <row r="548" spans="1:2" x14ac:dyDescent="0.25">
      <c r="A548" s="1">
        <v>42186</v>
      </c>
      <c r="B548">
        <v>54.34</v>
      </c>
    </row>
    <row r="549" spans="1:2" x14ac:dyDescent="0.25">
      <c r="A549" s="1">
        <v>42217</v>
      </c>
      <c r="B549">
        <v>45.69</v>
      </c>
    </row>
    <row r="550" spans="1:2" x14ac:dyDescent="0.25">
      <c r="A550" s="1">
        <v>42248</v>
      </c>
      <c r="B550">
        <v>46.28</v>
      </c>
    </row>
    <row r="551" spans="1:2" x14ac:dyDescent="0.25">
      <c r="A551" s="1">
        <v>42278</v>
      </c>
      <c r="B551">
        <v>46.956666666670003</v>
      </c>
    </row>
    <row r="552" spans="1:2" x14ac:dyDescent="0.25">
      <c r="A552" s="1">
        <v>42309</v>
      </c>
      <c r="B552">
        <v>43.113333333329997</v>
      </c>
    </row>
    <row r="553" spans="1:2" x14ac:dyDescent="0.25">
      <c r="A553" s="1">
        <v>42339</v>
      </c>
      <c r="B553">
        <v>36.573333333329998</v>
      </c>
    </row>
    <row r="554" spans="1:2" x14ac:dyDescent="0.25">
      <c r="A554" s="1">
        <v>42370</v>
      </c>
      <c r="B554">
        <v>29.78</v>
      </c>
    </row>
    <row r="555" spans="1:2" x14ac:dyDescent="0.25">
      <c r="A555" s="1">
        <v>42401</v>
      </c>
      <c r="B555">
        <v>31.03</v>
      </c>
    </row>
    <row r="556" spans="1:2" x14ac:dyDescent="0.25">
      <c r="A556" s="1">
        <v>42430</v>
      </c>
      <c r="B556">
        <v>37.340000000000003</v>
      </c>
    </row>
    <row r="557" spans="1:2" x14ac:dyDescent="0.25">
      <c r="A557" s="1">
        <v>42461</v>
      </c>
      <c r="B557">
        <v>40.75</v>
      </c>
    </row>
    <row r="558" spans="1:2" x14ac:dyDescent="0.25">
      <c r="A558" s="1">
        <v>42491</v>
      </c>
      <c r="B558">
        <v>45.93666666667</v>
      </c>
    </row>
    <row r="559" spans="1:2" x14ac:dyDescent="0.25">
      <c r="A559" s="1">
        <v>42522</v>
      </c>
      <c r="B559">
        <v>47.68666666667</v>
      </c>
    </row>
    <row r="560" spans="1:2" x14ac:dyDescent="0.25">
      <c r="A560" s="1">
        <v>42552</v>
      </c>
      <c r="B560">
        <v>44.126666666669998</v>
      </c>
    </row>
    <row r="561" spans="1:2" x14ac:dyDescent="0.25">
      <c r="A561" s="1">
        <v>42583</v>
      </c>
      <c r="B561">
        <v>44.876666666669998</v>
      </c>
    </row>
    <row r="562" spans="1:2" x14ac:dyDescent="0.25">
      <c r="A562" s="1">
        <v>42614</v>
      </c>
      <c r="B562">
        <v>45.043333333329997</v>
      </c>
    </row>
    <row r="563" spans="1:2" x14ac:dyDescent="0.25">
      <c r="A563" s="1">
        <v>42644</v>
      </c>
      <c r="B563">
        <v>49.293333333329997</v>
      </c>
    </row>
    <row r="564" spans="1:2" x14ac:dyDescent="0.25">
      <c r="A564" s="1">
        <v>42675</v>
      </c>
      <c r="B564">
        <v>45.26</v>
      </c>
    </row>
    <row r="565" spans="1:2" x14ac:dyDescent="0.25">
      <c r="A565" s="1">
        <v>42705</v>
      </c>
      <c r="B565">
        <v>52.62</v>
      </c>
    </row>
    <row r="566" spans="1:2" x14ac:dyDescent="0.25">
      <c r="A566" s="1">
        <v>42736</v>
      </c>
      <c r="B566">
        <v>53.59</v>
      </c>
    </row>
    <row r="567" spans="1:2" x14ac:dyDescent="0.25">
      <c r="A567" s="1">
        <v>42767</v>
      </c>
      <c r="B567">
        <v>54.353333333329999</v>
      </c>
    </row>
    <row r="568" spans="1:2" x14ac:dyDescent="0.25">
      <c r="A568" s="1">
        <v>42795</v>
      </c>
      <c r="B568">
        <v>50.903333333330004</v>
      </c>
    </row>
    <row r="569" spans="1:2" x14ac:dyDescent="0.25">
      <c r="A569" s="1">
        <v>42826</v>
      </c>
      <c r="B569">
        <v>52.163333333330002</v>
      </c>
    </row>
    <row r="570" spans="1:2" x14ac:dyDescent="0.25">
      <c r="A570" s="1">
        <v>42856</v>
      </c>
      <c r="B570">
        <v>49.893333333329998</v>
      </c>
    </row>
    <row r="571" spans="1:2" x14ac:dyDescent="0.25">
      <c r="A571" s="1">
        <v>42887</v>
      </c>
      <c r="B571">
        <v>46.166666666669997</v>
      </c>
    </row>
    <row r="572" spans="1:2" x14ac:dyDescent="0.25">
      <c r="A572" s="1">
        <v>42917</v>
      </c>
      <c r="B572">
        <v>47.656666666669999</v>
      </c>
    </row>
    <row r="573" spans="1:2" x14ac:dyDescent="0.25">
      <c r="A573" s="1">
        <v>42948</v>
      </c>
      <c r="B573">
        <v>49.943333333330003</v>
      </c>
    </row>
    <row r="574" spans="1:2" x14ac:dyDescent="0.25">
      <c r="A574" s="1">
        <v>42979</v>
      </c>
      <c r="B574">
        <v>52.95</v>
      </c>
    </row>
    <row r="575" spans="1:2" x14ac:dyDescent="0.25">
      <c r="A575" s="1">
        <v>43009</v>
      </c>
      <c r="B575">
        <v>54.92</v>
      </c>
    </row>
    <row r="576" spans="1:2" x14ac:dyDescent="0.25">
      <c r="A576" s="1">
        <v>43040</v>
      </c>
      <c r="B576">
        <v>59.933333333329998</v>
      </c>
    </row>
    <row r="577" spans="1:2" x14ac:dyDescent="0.25">
      <c r="A577" s="1">
        <v>43070</v>
      </c>
      <c r="B577">
        <v>61.18666666667</v>
      </c>
    </row>
    <row r="578" spans="1:2" x14ac:dyDescent="0.25">
      <c r="A578" s="1">
        <v>43101</v>
      </c>
      <c r="B578">
        <v>66.226666666669999</v>
      </c>
    </row>
    <row r="579" spans="1:2" x14ac:dyDescent="0.25">
      <c r="A579" s="1">
        <v>43132</v>
      </c>
      <c r="B579">
        <v>63.46</v>
      </c>
    </row>
    <row r="580" spans="1:2" x14ac:dyDescent="0.25">
      <c r="A580" s="1">
        <v>43160</v>
      </c>
      <c r="B580">
        <v>64.166666666669997</v>
      </c>
    </row>
    <row r="581" spans="1:2" x14ac:dyDescent="0.25">
      <c r="A581" s="1">
        <v>43191</v>
      </c>
      <c r="B581">
        <v>68.793333333329997</v>
      </c>
    </row>
    <row r="582" spans="1:2" x14ac:dyDescent="0.25">
      <c r="A582" s="1">
        <v>43221</v>
      </c>
      <c r="B582">
        <v>73.430000000000007</v>
      </c>
    </row>
    <row r="583" spans="1:2" x14ac:dyDescent="0.25">
      <c r="A583" s="1">
        <v>43252</v>
      </c>
      <c r="B583">
        <v>71.976666666669999</v>
      </c>
    </row>
    <row r="584" spans="1:2" x14ac:dyDescent="0.25">
      <c r="A584" s="1">
        <v>43282</v>
      </c>
      <c r="B584">
        <v>72.666666666669997</v>
      </c>
    </row>
    <row r="585" spans="1:2" x14ac:dyDescent="0.25">
      <c r="A585" s="1">
        <v>43313</v>
      </c>
      <c r="B585">
        <v>71.083333333330003</v>
      </c>
    </row>
    <row r="586" spans="1:2" x14ac:dyDescent="0.25">
      <c r="A586" s="1">
        <v>43344</v>
      </c>
      <c r="B586">
        <v>75.363333333330004</v>
      </c>
    </row>
    <row r="587" spans="1:2" x14ac:dyDescent="0.25">
      <c r="A587" s="1">
        <v>43374</v>
      </c>
      <c r="B587">
        <v>76.726666666669999</v>
      </c>
    </row>
    <row r="588" spans="1:2" x14ac:dyDescent="0.25">
      <c r="A588" s="1">
        <v>43405</v>
      </c>
      <c r="B588">
        <v>62.316666666670002</v>
      </c>
    </row>
    <row r="589" spans="1:2" x14ac:dyDescent="0.25">
      <c r="A589" s="1">
        <v>43435</v>
      </c>
      <c r="B589">
        <v>53.96</v>
      </c>
    </row>
    <row r="590" spans="1:2" x14ac:dyDescent="0.25">
      <c r="A590" s="1">
        <v>43466</v>
      </c>
      <c r="B590">
        <v>56.583333333330003</v>
      </c>
    </row>
    <row r="591" spans="1:2" x14ac:dyDescent="0.25">
      <c r="A591" s="1">
        <v>43497</v>
      </c>
      <c r="B591">
        <v>61.13333333333</v>
      </c>
    </row>
    <row r="592" spans="1:2" x14ac:dyDescent="0.25">
      <c r="A592" s="1">
        <v>43525</v>
      </c>
      <c r="B592">
        <v>63.786666666670001</v>
      </c>
    </row>
    <row r="593" spans="1:2" x14ac:dyDescent="0.25">
      <c r="A593" s="1">
        <v>43556</v>
      </c>
      <c r="B593">
        <v>68.576666666669993</v>
      </c>
    </row>
    <row r="594" spans="1:2" x14ac:dyDescent="0.25">
      <c r="A594" s="1">
        <v>43586</v>
      </c>
      <c r="B594">
        <v>66.833333333330003</v>
      </c>
    </row>
    <row r="595" spans="1:2" x14ac:dyDescent="0.25">
      <c r="A595" s="1">
        <v>43617</v>
      </c>
      <c r="B595">
        <v>59.76</v>
      </c>
    </row>
    <row r="596" spans="1:2" x14ac:dyDescent="0.25">
      <c r="A596" s="1">
        <v>43647</v>
      </c>
      <c r="B596">
        <v>61.476666666669999</v>
      </c>
    </row>
    <row r="597" spans="1:2" x14ac:dyDescent="0.25">
      <c r="A597" s="1">
        <v>43678</v>
      </c>
      <c r="B597">
        <v>57.67</v>
      </c>
    </row>
    <row r="598" spans="1:2" x14ac:dyDescent="0.25">
      <c r="A598" s="1">
        <v>43709</v>
      </c>
      <c r="B598">
        <v>60.04</v>
      </c>
    </row>
    <row r="599" spans="1:2" x14ac:dyDescent="0.25">
      <c r="A599" s="1">
        <v>43739</v>
      </c>
      <c r="B599">
        <v>57.273333333330001</v>
      </c>
    </row>
    <row r="600" spans="1:2" x14ac:dyDescent="0.25">
      <c r="A600" s="1">
        <v>43770</v>
      </c>
      <c r="B600">
        <v>60.403333333330004</v>
      </c>
    </row>
    <row r="601" spans="1:2" x14ac:dyDescent="0.25">
      <c r="A601" s="1">
        <v>43800</v>
      </c>
      <c r="B601">
        <v>63.353333333329999</v>
      </c>
    </row>
    <row r="602" spans="1:2" x14ac:dyDescent="0.25">
      <c r="A602" s="1">
        <v>43831</v>
      </c>
      <c r="B602">
        <v>61.626666666669998</v>
      </c>
    </row>
    <row r="603" spans="1:2" x14ac:dyDescent="0.25">
      <c r="A603" s="1">
        <v>43862</v>
      </c>
      <c r="B603">
        <v>53.346666666669996</v>
      </c>
    </row>
    <row r="604" spans="1:2" x14ac:dyDescent="0.25">
      <c r="A604" s="1">
        <v>43891</v>
      </c>
      <c r="B604">
        <v>32.203333333330001</v>
      </c>
    </row>
    <row r="605" spans="1:2" x14ac:dyDescent="0.25">
      <c r="A605" s="1">
        <v>43922</v>
      </c>
      <c r="B605">
        <v>21.043333333330001</v>
      </c>
    </row>
    <row r="606" spans="1:2" x14ac:dyDescent="0.25">
      <c r="A606" s="1">
        <v>43952</v>
      </c>
      <c r="B606">
        <v>30.38</v>
      </c>
    </row>
    <row r="607" spans="1:2" x14ac:dyDescent="0.25">
      <c r="A607" s="1">
        <v>43983</v>
      </c>
      <c r="B607">
        <v>39.456666666670003</v>
      </c>
    </row>
    <row r="608" spans="1:2" x14ac:dyDescent="0.25">
      <c r="A608" s="1">
        <v>44013</v>
      </c>
      <c r="B608">
        <v>42.066666666670002</v>
      </c>
    </row>
    <row r="609" spans="1:2" x14ac:dyDescent="0.25">
      <c r="A609" s="1">
        <v>44044</v>
      </c>
      <c r="B609">
        <v>43.443333333330003</v>
      </c>
    </row>
    <row r="610" spans="1:2" x14ac:dyDescent="0.25">
      <c r="A610" s="1">
        <v>44075</v>
      </c>
      <c r="B610">
        <v>40.596666666669996</v>
      </c>
    </row>
    <row r="611" spans="1:2" x14ac:dyDescent="0.25">
      <c r="A611" s="1">
        <v>44105</v>
      </c>
      <c r="B611">
        <v>39.9</v>
      </c>
    </row>
    <row r="612" spans="1:2" x14ac:dyDescent="0.25">
      <c r="A612" s="1">
        <v>44136</v>
      </c>
      <c r="B612">
        <v>42.303333333330002</v>
      </c>
    </row>
    <row r="613" spans="1:2" x14ac:dyDescent="0.25">
      <c r="A613" s="1">
        <v>44166</v>
      </c>
      <c r="B613">
        <v>48.726666666669999</v>
      </c>
    </row>
    <row r="614" spans="1:2" x14ac:dyDescent="0.25">
      <c r="A614" s="1">
        <v>44197</v>
      </c>
      <c r="B614">
        <v>53.603333333329999</v>
      </c>
    </row>
    <row r="615" spans="1:2" x14ac:dyDescent="0.25">
      <c r="A615" s="1">
        <v>44228</v>
      </c>
      <c r="B615">
        <v>60.463333333329999</v>
      </c>
    </row>
    <row r="616" spans="1:2" x14ac:dyDescent="0.25">
      <c r="A616" s="1">
        <v>44256</v>
      </c>
      <c r="B616">
        <v>63.83</v>
      </c>
    </row>
    <row r="617" spans="1:2" x14ac:dyDescent="0.25">
      <c r="A617" s="1">
        <v>44287</v>
      </c>
      <c r="B617">
        <v>62.95</v>
      </c>
    </row>
    <row r="618" spans="1:2" x14ac:dyDescent="0.25">
      <c r="A618" s="1">
        <v>44317</v>
      </c>
      <c r="B618">
        <v>66.400000000000006</v>
      </c>
    </row>
    <row r="619" spans="1:2" x14ac:dyDescent="0.25">
      <c r="A619" s="1">
        <v>44348</v>
      </c>
      <c r="B619">
        <v>71.803333333330002</v>
      </c>
    </row>
    <row r="620" spans="1:2" x14ac:dyDescent="0.25">
      <c r="A620" s="1">
        <v>44378</v>
      </c>
      <c r="B620">
        <v>73.283333333330006</v>
      </c>
    </row>
    <row r="621" spans="1:2" x14ac:dyDescent="0.25">
      <c r="A621" s="1">
        <v>44409</v>
      </c>
      <c r="B621">
        <v>68.86666666667</v>
      </c>
    </row>
    <row r="622" spans="1:2" x14ac:dyDescent="0.25">
      <c r="A622" s="1">
        <v>44440</v>
      </c>
      <c r="B622">
        <v>72.8</v>
      </c>
    </row>
    <row r="623" spans="1:2" x14ac:dyDescent="0.25">
      <c r="A623" s="1">
        <v>44470</v>
      </c>
      <c r="B623">
        <v>82.063333333329993</v>
      </c>
    </row>
    <row r="624" spans="1:2" x14ac:dyDescent="0.25">
      <c r="A624" s="1">
        <v>44501</v>
      </c>
      <c r="B624">
        <v>79.916666666669997</v>
      </c>
    </row>
    <row r="625" spans="1:2" x14ac:dyDescent="0.25">
      <c r="A625" s="1">
        <v>44531</v>
      </c>
      <c r="B625">
        <v>72.86666666667</v>
      </c>
    </row>
    <row r="626" spans="1:2" x14ac:dyDescent="0.25">
      <c r="A626" s="1">
        <v>44562</v>
      </c>
      <c r="B626">
        <v>83.92</v>
      </c>
    </row>
    <row r="627" spans="1:2" x14ac:dyDescent="0.25">
      <c r="A627" s="1">
        <v>44593</v>
      </c>
      <c r="B627">
        <v>93.543333333329997</v>
      </c>
    </row>
    <row r="628" spans="1:2" x14ac:dyDescent="0.25">
      <c r="A628" s="1">
        <v>44621</v>
      </c>
      <c r="B628">
        <v>112.39666666667</v>
      </c>
    </row>
    <row r="629" spans="1:2" x14ac:dyDescent="0.25">
      <c r="A629" s="1">
        <v>44652</v>
      </c>
      <c r="B629">
        <v>103.41333333333</v>
      </c>
    </row>
    <row r="630" spans="1:2" x14ac:dyDescent="0.25">
      <c r="A630" s="1">
        <v>44682</v>
      </c>
      <c r="B630">
        <v>110.09666666667</v>
      </c>
    </row>
    <row r="631" spans="1:2" x14ac:dyDescent="0.25">
      <c r="A631" s="1">
        <v>44713</v>
      </c>
      <c r="B631">
        <v>116.8</v>
      </c>
    </row>
    <row r="632" spans="1:2" x14ac:dyDescent="0.25">
      <c r="A632" s="1">
        <v>44743</v>
      </c>
      <c r="B632">
        <v>105.08333333333</v>
      </c>
    </row>
    <row r="633" spans="1:2" x14ac:dyDescent="0.25">
      <c r="A633" s="1">
        <v>44774</v>
      </c>
      <c r="B633">
        <v>95.973333333330004</v>
      </c>
    </row>
    <row r="634" spans="1:2" x14ac:dyDescent="0.25">
      <c r="A634" s="1">
        <v>44805</v>
      </c>
      <c r="B634">
        <v>88.22</v>
      </c>
    </row>
    <row r="635" spans="1:2" x14ac:dyDescent="0.25">
      <c r="A635" s="1">
        <v>44835</v>
      </c>
      <c r="B635">
        <v>90.326666666669993</v>
      </c>
    </row>
    <row r="636" spans="1:2" x14ac:dyDescent="0.25">
      <c r="A636" s="1">
        <v>44866</v>
      </c>
      <c r="B636">
        <v>87.376666666670005</v>
      </c>
    </row>
    <row r="637" spans="1:2" x14ac:dyDescent="0.25">
      <c r="A637" s="1">
        <v>44896</v>
      </c>
      <c r="B637">
        <v>78.066666666670002</v>
      </c>
    </row>
    <row r="638" spans="1:2" x14ac:dyDescent="0.25">
      <c r="A638" s="1">
        <v>44927</v>
      </c>
      <c r="B638">
        <v>80.41</v>
      </c>
    </row>
    <row r="639" spans="1:2" x14ac:dyDescent="0.25">
      <c r="A639" s="1">
        <v>44958</v>
      </c>
      <c r="B639">
        <v>80.253333333330005</v>
      </c>
    </row>
    <row r="640" spans="1:2" x14ac:dyDescent="0.25">
      <c r="A640" s="1">
        <v>44986</v>
      </c>
      <c r="B640">
        <v>76.473333333330004</v>
      </c>
    </row>
    <row r="641" spans="1:2" x14ac:dyDescent="0.25">
      <c r="A641" s="1">
        <v>45017</v>
      </c>
      <c r="B641">
        <v>82.46</v>
      </c>
    </row>
    <row r="642" spans="1:2" x14ac:dyDescent="0.25">
      <c r="A642" s="1">
        <v>45047</v>
      </c>
      <c r="B642">
        <v>74.123333333329995</v>
      </c>
    </row>
    <row r="643" spans="1:2" x14ac:dyDescent="0.25">
      <c r="A643" s="1">
        <v>45078</v>
      </c>
      <c r="B643">
        <v>73.263333333329996</v>
      </c>
    </row>
    <row r="644" spans="1:2" x14ac:dyDescent="0.25">
      <c r="A644" s="1">
        <v>45108</v>
      </c>
      <c r="B644">
        <v>78.983333333329995</v>
      </c>
    </row>
    <row r="645" spans="1:2" x14ac:dyDescent="0.25">
      <c r="A645" s="1">
        <v>45139</v>
      </c>
      <c r="B645">
        <v>84.724333333329994</v>
      </c>
    </row>
    <row r="646" spans="1:2" x14ac:dyDescent="0.25">
      <c r="A646" s="1">
        <v>45170</v>
      </c>
      <c r="B646">
        <v>92.22</v>
      </c>
    </row>
    <row r="647" spans="1:2" x14ac:dyDescent="0.25">
      <c r="A647" s="1">
        <v>45200</v>
      </c>
      <c r="B647">
        <v>89.083666666669998</v>
      </c>
    </row>
    <row r="648" spans="1:2" x14ac:dyDescent="0.25">
      <c r="A648" s="1">
        <v>45231</v>
      </c>
      <c r="B648">
        <v>81.354333333330004</v>
      </c>
    </row>
    <row r="649" spans="1:2" x14ac:dyDescent="0.25">
      <c r="A649" s="1">
        <v>45261</v>
      </c>
      <c r="B649">
        <v>75.719333333329999</v>
      </c>
    </row>
    <row r="650" spans="1:2" x14ac:dyDescent="0.25">
      <c r="A650" s="1">
        <v>45292</v>
      </c>
      <c r="B650">
        <v>77.672333333330002</v>
      </c>
    </row>
    <row r="651" spans="1:2" x14ac:dyDescent="0.25">
      <c r="A651" s="1">
        <v>45323</v>
      </c>
      <c r="B651">
        <v>80.548000000000002</v>
      </c>
    </row>
    <row r="652" spans="1:2" x14ac:dyDescent="0.25">
      <c r="A652" s="1">
        <v>45352</v>
      </c>
      <c r="B652">
        <v>83.545666666670002</v>
      </c>
    </row>
    <row r="653" spans="1:2" x14ac:dyDescent="0.25">
      <c r="A653" s="1">
        <v>45383</v>
      </c>
      <c r="B653">
        <v>88.011333333330001</v>
      </c>
    </row>
    <row r="654" spans="1:2" x14ac:dyDescent="0.25">
      <c r="A654" s="1">
        <v>45413</v>
      </c>
      <c r="B654">
        <v>81.444999999999993</v>
      </c>
    </row>
    <row r="655" spans="1:2" x14ac:dyDescent="0.25">
      <c r="A655" s="1">
        <v>45444</v>
      </c>
      <c r="B655">
        <v>81.204999999999998</v>
      </c>
    </row>
    <row r="656" spans="1:2" x14ac:dyDescent="0.25">
      <c r="A656" s="1">
        <v>45474</v>
      </c>
      <c r="B656">
        <v>83.258666666669995</v>
      </c>
    </row>
    <row r="657" spans="1:2" x14ac:dyDescent="0.25">
      <c r="A657" s="1">
        <v>45505</v>
      </c>
      <c r="B657">
        <v>78.120999999999995</v>
      </c>
    </row>
    <row r="658" spans="1:2" x14ac:dyDescent="0.25">
      <c r="A658" s="1">
        <v>45536</v>
      </c>
      <c r="B658">
        <v>72.424333333329997</v>
      </c>
    </row>
    <row r="659" spans="1:2" x14ac:dyDescent="0.25">
      <c r="A659" s="1">
        <v>45566</v>
      </c>
      <c r="B659">
        <v>73.970666666669999</v>
      </c>
    </row>
    <row r="660" spans="1:2" x14ac:dyDescent="0.25">
      <c r="A660" s="1">
        <v>45597</v>
      </c>
      <c r="B660">
        <v>72.291666666669997</v>
      </c>
    </row>
    <row r="661" spans="1:2" x14ac:dyDescent="0.25">
      <c r="A661" s="1">
        <v>45627</v>
      </c>
      <c r="B661">
        <v>72.311000000000007</v>
      </c>
    </row>
    <row r="662" spans="1:2" x14ac:dyDescent="0.25">
      <c r="A662" s="1">
        <v>45658</v>
      </c>
      <c r="B662">
        <v>67.650000000000006</v>
      </c>
    </row>
    <row r="663" spans="1:2" x14ac:dyDescent="0.25">
      <c r="A663" s="1">
        <v>45689</v>
      </c>
      <c r="B663">
        <v>66.010000000000005</v>
      </c>
    </row>
    <row r="664" spans="1:2" x14ac:dyDescent="0.25">
      <c r="A664" s="1">
        <v>45717</v>
      </c>
      <c r="B664">
        <v>68.2</v>
      </c>
    </row>
    <row r="665" spans="1:2" x14ac:dyDescent="0.25">
      <c r="A665" s="1">
        <v>45748</v>
      </c>
      <c r="B665">
        <v>62.97</v>
      </c>
    </row>
    <row r="666" spans="1:2" x14ac:dyDescent="0.25">
      <c r="A666" s="1">
        <v>45778</v>
      </c>
      <c r="B666">
        <v>60.85</v>
      </c>
    </row>
    <row r="667" spans="1:2" x14ac:dyDescent="0.25">
      <c r="A667" s="1">
        <v>45809</v>
      </c>
      <c r="B667">
        <v>67.86</v>
      </c>
    </row>
    <row r="668" spans="1:2" x14ac:dyDescent="0.25">
      <c r="A668" s="1">
        <v>45839</v>
      </c>
      <c r="B668">
        <v>66.97</v>
      </c>
    </row>
    <row r="669" spans="1:2" x14ac:dyDescent="0.25">
      <c r="A669" s="1">
        <v>45870</v>
      </c>
      <c r="B669">
        <v>64.209999999999994</v>
      </c>
    </row>
    <row r="670" spans="1:2" x14ac:dyDescent="0.25">
      <c r="A670" s="1">
        <v>45901</v>
      </c>
      <c r="B670">
        <v>63.51</v>
      </c>
    </row>
    <row r="671" spans="1:2" x14ac:dyDescent="0.25">
      <c r="A671" s="1">
        <v>45931</v>
      </c>
      <c r="B671">
        <v>60.05</v>
      </c>
    </row>
    <row r="672" spans="1:2" x14ac:dyDescent="0.25">
      <c r="A672" s="1">
        <v>45962</v>
      </c>
      <c r="B672">
        <v>59.46</v>
      </c>
    </row>
    <row r="673" spans="1:2" x14ac:dyDescent="0.25">
      <c r="A673" s="1">
        <v>45992</v>
      </c>
      <c r="B673">
        <v>57.95</v>
      </c>
    </row>
    <row r="674" spans="1:2" x14ac:dyDescent="0.25">
      <c r="A674" s="1">
        <v>46023</v>
      </c>
      <c r="B674">
        <v>60.04</v>
      </c>
    </row>
    <row r="675" spans="1:2" x14ac:dyDescent="0.25">
      <c r="A675" s="1">
        <v>46054</v>
      </c>
      <c r="B675">
        <v>64.47</v>
      </c>
    </row>
    <row r="676" spans="1:2" x14ac:dyDescent="0.25">
      <c r="A676" s="1">
        <v>46082</v>
      </c>
      <c r="B676">
        <v>87.84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76"/>
  <sheetViews>
    <sheetView topLeftCell="A2" workbookViewId="0">
      <selection activeCell="J8" sqref="J8"/>
    </sheetView>
  </sheetViews>
  <sheetFormatPr defaultRowHeight="15" x14ac:dyDescent="0.25"/>
  <cols>
    <col min="1" max="1" width="9.7109375" bestFit="1" customWidth="1"/>
    <col min="2" max="2" width="10" customWidth="1"/>
    <col min="3" max="3" width="9.7109375" customWidth="1"/>
    <col min="4" max="4" width="12.28515625" bestFit="1" customWidth="1"/>
    <col min="5" max="5" width="9.7109375" customWidth="1"/>
    <col min="6" max="6" width="17.42578125" style="8" customWidth="1"/>
    <col min="7" max="7" width="12.7109375" bestFit="1" customWidth="1"/>
    <col min="8" max="8" width="12" customWidth="1"/>
    <col min="9" max="9" width="16" customWidth="1"/>
    <col min="12" max="12" width="12" customWidth="1"/>
    <col min="13" max="13" width="13.28515625" bestFit="1" customWidth="1"/>
  </cols>
  <sheetData>
    <row r="1" spans="1:13" ht="30" customHeight="1" x14ac:dyDescent="0.25">
      <c r="A1" s="3" t="s">
        <v>0</v>
      </c>
      <c r="B1" s="3" t="s">
        <v>4</v>
      </c>
      <c r="C1" s="3" t="s">
        <v>3</v>
      </c>
      <c r="D1" s="3" t="s">
        <v>8</v>
      </c>
      <c r="E1" s="3" t="s">
        <v>2</v>
      </c>
      <c r="F1" s="7" t="s">
        <v>1</v>
      </c>
      <c r="G1" s="3" t="s">
        <v>5</v>
      </c>
      <c r="H1" s="3" t="s">
        <v>6</v>
      </c>
      <c r="I1" s="3" t="s">
        <v>7</v>
      </c>
    </row>
    <row r="2" spans="1:13" x14ac:dyDescent="0.25">
      <c r="A2" s="4">
        <v>25569</v>
      </c>
      <c r="B2" s="6" t="str">
        <f>_xlfn.CONCAT("Q",CEILING(Fuel_prices[[#This Row],[Month]]/3,1))</f>
        <v>Q1</v>
      </c>
      <c r="C2" s="6">
        <f>MONTH(Fuel_prices[[#This Row],[Date]])</f>
        <v>1</v>
      </c>
      <c r="D2" s="6" t="str">
        <f>TEXT(Fuel_prices[[#This Row],[Date]],"mmm")</f>
        <v>Jan</v>
      </c>
      <c r="E2" s="6">
        <f>YEAR(Fuel_prices[[#This Row],[Date]])</f>
        <v>1970</v>
      </c>
      <c r="F2" s="5">
        <f>ROUND(1.21,2)</f>
        <v>1.21</v>
      </c>
      <c r="G2" s="2">
        <f ca="1">ROUND(IFERROR((Fuel_prices[[#This Row],[Crude_Oil_Price]]-OFFSET(Fuel_prices[[#This Row],[Crude_Oil_Price]],-1,0)),0),2)</f>
        <v>0</v>
      </c>
      <c r="H2" s="2">
        <f ca="1">ROUND((IFERROR((Fuel_prices[[#This Row],[Crude_Oil_Price]]-OFFSET(Fuel_prices[[#This Row],[Crude_Oil_Price]],-1,0))/(OFFSET(Fuel_prices[[#This Row],[Crude_Oil_Price]],-1,0)),0))*100,2)</f>
        <v>0</v>
      </c>
      <c r="I2" s="2" t="str" cm="1">
        <f t="array" aca="1" ref="I2" ca="1">_xlfn.IFS(
    ABS(Fuel_prices[[#This Row],[%_change]])&gt;50,"SEVERE IMPACT",
    ABS(Fuel_prices[[#This Row],[%_change]])&gt;25,"HIGH IMPACT",
    ABS(Fuel_prices[[#This Row],[%_change]])&gt;5,"MID IMPACT",
    ABS(Fuel_prices[[#This Row],[%_change]])&lt;=5,"LITTLE IMPACT"
)</f>
        <v>LITTLE IMPACT</v>
      </c>
      <c r="L2" s="11" t="s">
        <v>18</v>
      </c>
      <c r="M2" s="12"/>
    </row>
    <row r="3" spans="1:13" x14ac:dyDescent="0.25">
      <c r="A3" s="4">
        <v>25600</v>
      </c>
      <c r="B3" s="6" t="str">
        <f>_xlfn.CONCAT("Q",CEILING(Fuel_prices[[#This Row],[Month]]/3,1))</f>
        <v>Q1</v>
      </c>
      <c r="C3" s="6">
        <f>MONTH(Fuel_prices[[#This Row],[Date]])</f>
        <v>2</v>
      </c>
      <c r="D3" s="6" t="str">
        <f>TEXT(Fuel_prices[[#This Row],[Date]],"mmm")</f>
        <v>Feb</v>
      </c>
      <c r="E3" s="6">
        <f>YEAR(Fuel_prices[[#This Row],[Date]])</f>
        <v>1970</v>
      </c>
      <c r="F3" s="5">
        <v>1.21</v>
      </c>
      <c r="G3" s="2">
        <f ca="1">ROUND(IFERROR((Fuel_prices[[#This Row],[Crude_Oil_Price]]-OFFSET(Fuel_prices[[#This Row],[Crude_Oil_Price]],-1,0)),0),2)</f>
        <v>0</v>
      </c>
      <c r="H3" s="2">
        <f ca="1">ROUND((IFERROR((Fuel_prices[[#This Row],[Crude_Oil_Price]]-OFFSET(Fuel_prices[[#This Row],[Crude_Oil_Price]],-1,0))/(OFFSET(Fuel_prices[[#This Row],[Crude_Oil_Price]],-1,0)),0))*100,2)</f>
        <v>0</v>
      </c>
      <c r="I3" s="2" t="str" cm="1">
        <f t="array" aca="1" ref="I3" ca="1">_xlfn.IFS(
    ABS(Fuel_prices[[#This Row],[%_change]])&gt;50,"SEVERE IMPACT",
    ABS(Fuel_prices[[#This Row],[%_change]])&gt;25,"HIGH IMPACT",
    ABS(Fuel_prices[[#This Row],[%_change]])&gt;5,"MID IMPACT",
    ABS(Fuel_prices[[#This Row],[%_change]])&lt;=5,"LITTLE IMPACT"
)</f>
        <v>LITTLE IMPACT</v>
      </c>
      <c r="L3" s="9" t="s">
        <v>6</v>
      </c>
      <c r="M3" s="9" t="s">
        <v>9</v>
      </c>
    </row>
    <row r="4" spans="1:13" x14ac:dyDescent="0.25">
      <c r="A4" s="4">
        <v>25628</v>
      </c>
      <c r="B4" s="6" t="str">
        <f>_xlfn.CONCAT("Q",CEILING(Fuel_prices[[#This Row],[Month]]/3,1))</f>
        <v>Q1</v>
      </c>
      <c r="C4" s="6">
        <f>MONTH(Fuel_prices[[#This Row],[Date]])</f>
        <v>3</v>
      </c>
      <c r="D4" s="6" t="str">
        <f>TEXT(Fuel_prices[[#This Row],[Date]],"mmm")</f>
        <v>Mar</v>
      </c>
      <c r="E4" s="6">
        <f>YEAR(Fuel_prices[[#This Row],[Date]])</f>
        <v>1970</v>
      </c>
      <c r="F4" s="5">
        <v>1.21</v>
      </c>
      <c r="G4" s="2">
        <f ca="1">ROUND(IFERROR((Fuel_prices[[#This Row],[Crude_Oil_Price]]-OFFSET(Fuel_prices[[#This Row],[Crude_Oil_Price]],-1,0)),0),2)</f>
        <v>0</v>
      </c>
      <c r="H4" s="2">
        <f ca="1">ROUND((IFERROR((Fuel_prices[[#This Row],[Crude_Oil_Price]]-OFFSET(Fuel_prices[[#This Row],[Crude_Oil_Price]],-1,0))/(OFFSET(Fuel_prices[[#This Row],[Crude_Oil_Price]],-1,0)),0))*100,2)</f>
        <v>0</v>
      </c>
      <c r="I4" s="2" t="str" cm="1">
        <f t="array" aca="1" ref="I4" ca="1">_xlfn.IFS(
    ABS(Fuel_prices[[#This Row],[%_change]])&gt;50,"SEVERE IMPACT",
    ABS(Fuel_prices[[#This Row],[%_change]])&gt;25,"HIGH IMPACT",
    ABS(Fuel_prices[[#This Row],[%_change]])&gt;5,"MID IMPACT",
    ABS(Fuel_prices[[#This Row],[%_change]])&lt;=5,"LITTLE IMPACT"
)</f>
        <v>LITTLE IMPACT</v>
      </c>
      <c r="L4" s="2" t="s">
        <v>10</v>
      </c>
      <c r="M4" s="2" t="s">
        <v>17</v>
      </c>
    </row>
    <row r="5" spans="1:13" x14ac:dyDescent="0.25">
      <c r="A5" s="4">
        <v>25659</v>
      </c>
      <c r="B5" s="6" t="str">
        <f>_xlfn.CONCAT("Q",CEILING(Fuel_prices[[#This Row],[Month]]/3,1))</f>
        <v>Q2</v>
      </c>
      <c r="C5" s="6">
        <f>MONTH(Fuel_prices[[#This Row],[Date]])</f>
        <v>4</v>
      </c>
      <c r="D5" s="6" t="str">
        <f>TEXT(Fuel_prices[[#This Row],[Date]],"mmm")</f>
        <v>Apr</v>
      </c>
      <c r="E5" s="6">
        <f>YEAR(Fuel_prices[[#This Row],[Date]])</f>
        <v>1970</v>
      </c>
      <c r="F5" s="5">
        <v>1.21</v>
      </c>
      <c r="G5" s="2">
        <f ca="1">ROUND(IFERROR((Fuel_prices[[#This Row],[Crude_Oil_Price]]-OFFSET(Fuel_prices[[#This Row],[Crude_Oil_Price]],-1,0)),0),2)</f>
        <v>0</v>
      </c>
      <c r="H5" s="2">
        <f ca="1">ROUND((IFERROR((Fuel_prices[[#This Row],[Crude_Oil_Price]]-OFFSET(Fuel_prices[[#This Row],[Crude_Oil_Price]],-1,0))/(OFFSET(Fuel_prices[[#This Row],[Crude_Oil_Price]],-1,0)),0))*100,2)</f>
        <v>0</v>
      </c>
      <c r="I5" s="2" t="str" cm="1">
        <f t="array" aca="1" ref="I5" ca="1">_xlfn.IFS(
    ABS(Fuel_prices[[#This Row],[%_change]])&gt;50,"SEVERE IMPACT",
    ABS(Fuel_prices[[#This Row],[%_change]])&gt;25,"HIGH IMPACT",
    ABS(Fuel_prices[[#This Row],[%_change]])&gt;5,"MID IMPACT",
    ABS(Fuel_prices[[#This Row],[%_change]])&lt;=5,"LITTLE IMPACT"
)</f>
        <v>LITTLE IMPACT</v>
      </c>
      <c r="L5" s="2" t="s">
        <v>11</v>
      </c>
      <c r="M5" s="2" t="s">
        <v>16</v>
      </c>
    </row>
    <row r="6" spans="1:13" x14ac:dyDescent="0.25">
      <c r="A6" s="4">
        <v>25689</v>
      </c>
      <c r="B6" s="6" t="str">
        <f>_xlfn.CONCAT("Q",CEILING(Fuel_prices[[#This Row],[Month]]/3,1))</f>
        <v>Q2</v>
      </c>
      <c r="C6" s="6">
        <f>MONTH(Fuel_prices[[#This Row],[Date]])</f>
        <v>5</v>
      </c>
      <c r="D6" s="6" t="str">
        <f>TEXT(Fuel_prices[[#This Row],[Date]],"mmm")</f>
        <v>May</v>
      </c>
      <c r="E6" s="6">
        <f>YEAR(Fuel_prices[[#This Row],[Date]])</f>
        <v>1970</v>
      </c>
      <c r="F6" s="5">
        <v>1.21</v>
      </c>
      <c r="G6" s="2">
        <f ca="1">ROUND(IFERROR((Fuel_prices[[#This Row],[Crude_Oil_Price]]-OFFSET(Fuel_prices[[#This Row],[Crude_Oil_Price]],-1,0)),0),2)</f>
        <v>0</v>
      </c>
      <c r="H6" s="2">
        <f ca="1">ROUND((IFERROR((Fuel_prices[[#This Row],[Crude_Oil_Price]]-OFFSET(Fuel_prices[[#This Row],[Crude_Oil_Price]],-1,0))/(OFFSET(Fuel_prices[[#This Row],[Crude_Oil_Price]],-1,0)),0))*100,2)</f>
        <v>0</v>
      </c>
      <c r="I6" s="2" t="str" cm="1">
        <f t="array" aca="1" ref="I6" ca="1">_xlfn.IFS(
    ABS(Fuel_prices[[#This Row],[%_change]])&gt;50,"SEVERE IMPACT",
    ABS(Fuel_prices[[#This Row],[%_change]])&gt;25,"HIGH IMPACT",
    ABS(Fuel_prices[[#This Row],[%_change]])&gt;5,"MID IMPACT",
    ABS(Fuel_prices[[#This Row],[%_change]])&lt;=5,"LITTLE IMPACT"
)</f>
        <v>LITTLE IMPACT</v>
      </c>
      <c r="L6" s="2" t="s">
        <v>12</v>
      </c>
      <c r="M6" s="2" t="s">
        <v>15</v>
      </c>
    </row>
    <row r="7" spans="1:13" x14ac:dyDescent="0.25">
      <c r="A7" s="4">
        <v>25720</v>
      </c>
      <c r="B7" s="6" t="str">
        <f>_xlfn.CONCAT("Q",CEILING(Fuel_prices[[#This Row],[Month]]/3,1))</f>
        <v>Q2</v>
      </c>
      <c r="C7" s="6">
        <f>MONTH(Fuel_prices[[#This Row],[Date]])</f>
        <v>6</v>
      </c>
      <c r="D7" s="6" t="str">
        <f>TEXT(Fuel_prices[[#This Row],[Date]],"mmm")</f>
        <v>Jun</v>
      </c>
      <c r="E7" s="6">
        <f>YEAR(Fuel_prices[[#This Row],[Date]])</f>
        <v>1970</v>
      </c>
      <c r="F7" s="5">
        <v>1.21</v>
      </c>
      <c r="G7" s="2">
        <f ca="1">ROUND(IFERROR((Fuel_prices[[#This Row],[Crude_Oil_Price]]-OFFSET(Fuel_prices[[#This Row],[Crude_Oil_Price]],-1,0)),0),2)</f>
        <v>0</v>
      </c>
      <c r="H7" s="2">
        <f ca="1">ROUND((IFERROR((Fuel_prices[[#This Row],[Crude_Oil_Price]]-OFFSET(Fuel_prices[[#This Row],[Crude_Oil_Price]],-1,0))/(OFFSET(Fuel_prices[[#This Row],[Crude_Oil_Price]],-1,0)),0))*100,2)</f>
        <v>0</v>
      </c>
      <c r="I7" s="2" t="str" cm="1">
        <f t="array" aca="1" ref="I7" ca="1">_xlfn.IFS(
    ABS(Fuel_prices[[#This Row],[%_change]])&gt;50,"SEVERE IMPACT",
    ABS(Fuel_prices[[#This Row],[%_change]])&gt;25,"HIGH IMPACT",
    ABS(Fuel_prices[[#This Row],[%_change]])&gt;5,"MID IMPACT",
    ABS(Fuel_prices[[#This Row],[%_change]])&lt;=5,"LITTLE IMPACT"
)</f>
        <v>LITTLE IMPACT</v>
      </c>
      <c r="L7" s="2" t="s">
        <v>13</v>
      </c>
      <c r="M7" s="2" t="s">
        <v>14</v>
      </c>
    </row>
    <row r="8" spans="1:13" x14ac:dyDescent="0.25">
      <c r="A8" s="4">
        <v>25750</v>
      </c>
      <c r="B8" s="6" t="str">
        <f>_xlfn.CONCAT("Q",CEILING(Fuel_prices[[#This Row],[Month]]/3,1))</f>
        <v>Q3</v>
      </c>
      <c r="C8" s="6">
        <f>MONTH(Fuel_prices[[#This Row],[Date]])</f>
        <v>7</v>
      </c>
      <c r="D8" s="6" t="str">
        <f>TEXT(Fuel_prices[[#This Row],[Date]],"mmm")</f>
        <v>Jul</v>
      </c>
      <c r="E8" s="6">
        <f>YEAR(Fuel_prices[[#This Row],[Date]])</f>
        <v>1970</v>
      </c>
      <c r="F8" s="5">
        <v>1.21</v>
      </c>
      <c r="G8" s="2">
        <f ca="1">ROUND(IFERROR((Fuel_prices[[#This Row],[Crude_Oil_Price]]-OFFSET(Fuel_prices[[#This Row],[Crude_Oil_Price]],-1,0)),0),2)</f>
        <v>0</v>
      </c>
      <c r="H8" s="2">
        <f ca="1">ROUND((IFERROR((Fuel_prices[[#This Row],[Crude_Oil_Price]]-OFFSET(Fuel_prices[[#This Row],[Crude_Oil_Price]],-1,0))/(OFFSET(Fuel_prices[[#This Row],[Crude_Oil_Price]],-1,0)),0))*100,2)</f>
        <v>0</v>
      </c>
      <c r="I8" s="2" t="str" cm="1">
        <f t="array" aca="1" ref="I8" ca="1">_xlfn.IFS(
    ABS(Fuel_prices[[#This Row],[%_change]])&gt;50,"SEVERE IMPACT",
    ABS(Fuel_prices[[#This Row],[%_change]])&gt;25,"HIGH IMPACT",
    ABS(Fuel_prices[[#This Row],[%_change]])&gt;5,"MID IMPACT",
    ABS(Fuel_prices[[#This Row],[%_change]])&lt;=5,"LITTLE IMPACT"
)</f>
        <v>LITTLE IMPACT</v>
      </c>
    </row>
    <row r="9" spans="1:13" x14ac:dyDescent="0.25">
      <c r="A9" s="4">
        <v>25781</v>
      </c>
      <c r="B9" s="6" t="str">
        <f>_xlfn.CONCAT("Q",CEILING(Fuel_prices[[#This Row],[Month]]/3,1))</f>
        <v>Q3</v>
      </c>
      <c r="C9" s="6">
        <f>MONTH(Fuel_prices[[#This Row],[Date]])</f>
        <v>8</v>
      </c>
      <c r="D9" s="6" t="str">
        <f>TEXT(Fuel_prices[[#This Row],[Date]],"mmm")</f>
        <v>Aug</v>
      </c>
      <c r="E9" s="6">
        <f>YEAR(Fuel_prices[[#This Row],[Date]])</f>
        <v>1970</v>
      </c>
      <c r="F9" s="5">
        <v>1.21</v>
      </c>
      <c r="G9" s="2">
        <f ca="1">ROUND(IFERROR((Fuel_prices[[#This Row],[Crude_Oil_Price]]-OFFSET(Fuel_prices[[#This Row],[Crude_Oil_Price]],-1,0)),0),2)</f>
        <v>0</v>
      </c>
      <c r="H9" s="2">
        <f ca="1">ROUND((IFERROR((Fuel_prices[[#This Row],[Crude_Oil_Price]]-OFFSET(Fuel_prices[[#This Row],[Crude_Oil_Price]],-1,0))/(OFFSET(Fuel_prices[[#This Row],[Crude_Oil_Price]],-1,0)),0))*100,2)</f>
        <v>0</v>
      </c>
      <c r="I9" s="2" t="str" cm="1">
        <f t="array" aca="1" ref="I9" ca="1">_xlfn.IFS(
    ABS(Fuel_prices[[#This Row],[%_change]])&gt;50,"SEVERE IMPACT",
    ABS(Fuel_prices[[#This Row],[%_change]])&gt;25,"HIGH IMPACT",
    ABS(Fuel_prices[[#This Row],[%_change]])&gt;5,"MID IMPACT",
    ABS(Fuel_prices[[#This Row],[%_change]])&lt;=5,"LITTLE IMPACT"
)</f>
        <v>LITTLE IMPACT</v>
      </c>
    </row>
    <row r="10" spans="1:13" x14ac:dyDescent="0.25">
      <c r="A10" s="4">
        <v>25812</v>
      </c>
      <c r="B10" s="6" t="str">
        <f>_xlfn.CONCAT("Q",CEILING(Fuel_prices[[#This Row],[Month]]/3,1))</f>
        <v>Q3</v>
      </c>
      <c r="C10" s="6">
        <f>MONTH(Fuel_prices[[#This Row],[Date]])</f>
        <v>9</v>
      </c>
      <c r="D10" s="6" t="str">
        <f>TEXT(Fuel_prices[[#This Row],[Date]],"mmm")</f>
        <v>Sep</v>
      </c>
      <c r="E10" s="6">
        <f>YEAR(Fuel_prices[[#This Row],[Date]])</f>
        <v>1970</v>
      </c>
      <c r="F10" s="5">
        <v>1.21</v>
      </c>
      <c r="G10" s="2">
        <f ca="1">ROUND(IFERROR((Fuel_prices[[#This Row],[Crude_Oil_Price]]-OFFSET(Fuel_prices[[#This Row],[Crude_Oil_Price]],-1,0)),0),2)</f>
        <v>0</v>
      </c>
      <c r="H10" s="2">
        <f ca="1">ROUND((IFERROR((Fuel_prices[[#This Row],[Crude_Oil_Price]]-OFFSET(Fuel_prices[[#This Row],[Crude_Oil_Price]],-1,0))/(OFFSET(Fuel_prices[[#This Row],[Crude_Oil_Price]],-1,0)),0))*100,2)</f>
        <v>0</v>
      </c>
      <c r="I10" s="2" t="str" cm="1">
        <f t="array" aca="1" ref="I10" ca="1">_xlfn.IFS(
    ABS(Fuel_prices[[#This Row],[%_change]])&gt;50,"SEVERE IMPACT",
    ABS(Fuel_prices[[#This Row],[%_change]])&gt;25,"HIGH IMPACT",
    ABS(Fuel_prices[[#This Row],[%_change]])&gt;5,"MID IMPACT",
    ABS(Fuel_prices[[#This Row],[%_change]])&lt;=5,"LITTLE IMPACT"
)</f>
        <v>LITTLE IMPACT</v>
      </c>
    </row>
    <row r="11" spans="1:13" x14ac:dyDescent="0.25">
      <c r="A11" s="4">
        <v>25842</v>
      </c>
      <c r="B11" s="6" t="str">
        <f>_xlfn.CONCAT("Q",CEILING(Fuel_prices[[#This Row],[Month]]/3,1))</f>
        <v>Q4</v>
      </c>
      <c r="C11" s="6">
        <f>MONTH(Fuel_prices[[#This Row],[Date]])</f>
        <v>10</v>
      </c>
      <c r="D11" s="6" t="str">
        <f>TEXT(Fuel_prices[[#This Row],[Date]],"mmm")</f>
        <v>Oct</v>
      </c>
      <c r="E11" s="6">
        <f>YEAR(Fuel_prices[[#This Row],[Date]])</f>
        <v>1970</v>
      </c>
      <c r="F11" s="5">
        <v>1.21</v>
      </c>
      <c r="G11" s="2">
        <f ca="1">ROUND(IFERROR((Fuel_prices[[#This Row],[Crude_Oil_Price]]-OFFSET(Fuel_prices[[#This Row],[Crude_Oil_Price]],-1,0)),0),2)</f>
        <v>0</v>
      </c>
      <c r="H11" s="2">
        <f ca="1">ROUND((IFERROR((Fuel_prices[[#This Row],[Crude_Oil_Price]]-OFFSET(Fuel_prices[[#This Row],[Crude_Oil_Price]],-1,0))/(OFFSET(Fuel_prices[[#This Row],[Crude_Oil_Price]],-1,0)),0))*100,2)</f>
        <v>0</v>
      </c>
      <c r="I11" s="2" t="str" cm="1">
        <f t="array" aca="1" ref="I11" ca="1">_xlfn.IFS(
    ABS(Fuel_prices[[#This Row],[%_change]])&gt;50,"SEVERE IMPACT",
    ABS(Fuel_prices[[#This Row],[%_change]])&gt;25,"HIGH IMPACT",
    ABS(Fuel_prices[[#This Row],[%_change]])&gt;5,"MID IMPACT",
    ABS(Fuel_prices[[#This Row],[%_change]])&lt;=5,"LITTLE IMPACT"
)</f>
        <v>LITTLE IMPACT</v>
      </c>
    </row>
    <row r="12" spans="1:13" x14ac:dyDescent="0.25">
      <c r="A12" s="4">
        <v>25873</v>
      </c>
      <c r="B12" s="6" t="str">
        <f>_xlfn.CONCAT("Q",CEILING(Fuel_prices[[#This Row],[Month]]/3,1))</f>
        <v>Q4</v>
      </c>
      <c r="C12" s="6">
        <f>MONTH(Fuel_prices[[#This Row],[Date]])</f>
        <v>11</v>
      </c>
      <c r="D12" s="6" t="str">
        <f>TEXT(Fuel_prices[[#This Row],[Date]],"mmm")</f>
        <v>Nov</v>
      </c>
      <c r="E12" s="6">
        <f>YEAR(Fuel_prices[[#This Row],[Date]])</f>
        <v>1970</v>
      </c>
      <c r="F12" s="5">
        <v>1.21</v>
      </c>
      <c r="G12" s="2">
        <f ca="1">ROUND(IFERROR((Fuel_prices[[#This Row],[Crude_Oil_Price]]-OFFSET(Fuel_prices[[#This Row],[Crude_Oil_Price]],-1,0)),0),2)</f>
        <v>0</v>
      </c>
      <c r="H12" s="2">
        <f ca="1">ROUND((IFERROR((Fuel_prices[[#This Row],[Crude_Oil_Price]]-OFFSET(Fuel_prices[[#This Row],[Crude_Oil_Price]],-1,0))/(OFFSET(Fuel_prices[[#This Row],[Crude_Oil_Price]],-1,0)),0))*100,2)</f>
        <v>0</v>
      </c>
      <c r="I12" s="2" t="str" cm="1">
        <f t="array" aca="1" ref="I12" ca="1">_xlfn.IFS(
    ABS(Fuel_prices[[#This Row],[%_change]])&gt;50,"SEVERE IMPACT",
    ABS(Fuel_prices[[#This Row],[%_change]])&gt;25,"HIGH IMPACT",
    ABS(Fuel_prices[[#This Row],[%_change]])&gt;5,"MID IMPACT",
    ABS(Fuel_prices[[#This Row],[%_change]])&lt;=5,"LITTLE IMPACT"
)</f>
        <v>LITTLE IMPACT</v>
      </c>
    </row>
    <row r="13" spans="1:13" x14ac:dyDescent="0.25">
      <c r="A13" s="4">
        <v>25903</v>
      </c>
      <c r="B13" s="6" t="str">
        <f>_xlfn.CONCAT("Q",CEILING(Fuel_prices[[#This Row],[Month]]/3,1))</f>
        <v>Q4</v>
      </c>
      <c r="C13" s="6">
        <f>MONTH(Fuel_prices[[#This Row],[Date]])</f>
        <v>12</v>
      </c>
      <c r="D13" s="6" t="str">
        <f>TEXT(Fuel_prices[[#This Row],[Date]],"mmm")</f>
        <v>Dec</v>
      </c>
      <c r="E13" s="6">
        <f>YEAR(Fuel_prices[[#This Row],[Date]])</f>
        <v>1970</v>
      </c>
      <c r="F13" s="5">
        <v>1.21</v>
      </c>
      <c r="G13" s="2">
        <f ca="1">ROUND(IFERROR((Fuel_prices[[#This Row],[Crude_Oil_Price]]-OFFSET(Fuel_prices[[#This Row],[Crude_Oil_Price]],-1,0)),0),2)</f>
        <v>0</v>
      </c>
      <c r="H13" s="2">
        <f ca="1">ROUND((IFERROR((Fuel_prices[[#This Row],[Crude_Oil_Price]]-OFFSET(Fuel_prices[[#This Row],[Crude_Oil_Price]],-1,0))/(OFFSET(Fuel_prices[[#This Row],[Crude_Oil_Price]],-1,0)),0))*100,2)</f>
        <v>0</v>
      </c>
      <c r="I13" s="2" t="str" cm="1">
        <f t="array" aca="1" ref="I13" ca="1">_xlfn.IFS(
    ABS(Fuel_prices[[#This Row],[%_change]])&gt;50,"SEVERE IMPACT",
    ABS(Fuel_prices[[#This Row],[%_change]])&gt;25,"HIGH IMPACT",
    ABS(Fuel_prices[[#This Row],[%_change]])&gt;5,"MID IMPACT",
    ABS(Fuel_prices[[#This Row],[%_change]])&lt;=5,"LITTLE IMPACT"
)</f>
        <v>LITTLE IMPACT</v>
      </c>
    </row>
    <row r="14" spans="1:13" x14ac:dyDescent="0.25">
      <c r="A14" s="4">
        <v>25934</v>
      </c>
      <c r="B14" s="6" t="str">
        <f>_xlfn.CONCAT("Q",CEILING(Fuel_prices[[#This Row],[Month]]/3,1))</f>
        <v>Q1</v>
      </c>
      <c r="C14" s="6">
        <f>MONTH(Fuel_prices[[#This Row],[Date]])</f>
        <v>1</v>
      </c>
      <c r="D14" s="6" t="str">
        <f>TEXT(Fuel_prices[[#This Row],[Date]],"mmm")</f>
        <v>Jan</v>
      </c>
      <c r="E14" s="6">
        <f>YEAR(Fuel_prices[[#This Row],[Date]])</f>
        <v>1971</v>
      </c>
      <c r="F14" s="5">
        <v>1.64</v>
      </c>
      <c r="G14" s="2">
        <f ca="1">ROUND(IFERROR((Fuel_prices[[#This Row],[Crude_Oil_Price]]-OFFSET(Fuel_prices[[#This Row],[Crude_Oil_Price]],-1,0)),0),2)</f>
        <v>0.43</v>
      </c>
      <c r="H14" s="2">
        <f ca="1">ROUND((IFERROR((Fuel_prices[[#This Row],[Crude_Oil_Price]]-OFFSET(Fuel_prices[[#This Row],[Crude_Oil_Price]],-1,0))/(OFFSET(Fuel_prices[[#This Row],[Crude_Oil_Price]],-1,0)),0))*100,2)</f>
        <v>35.54</v>
      </c>
      <c r="I14" s="2" t="str" cm="1">
        <f t="array" aca="1" ref="I14" ca="1">_xlfn.IFS(
    ABS(Fuel_prices[[#This Row],[%_change]])&gt;50,"SEVERE IMPACT",
    ABS(Fuel_prices[[#This Row],[%_change]])&gt;25,"HIGH IMPACT",
    ABS(Fuel_prices[[#This Row],[%_change]])&gt;5,"MID IMPACT",
    ABS(Fuel_prices[[#This Row],[%_change]])&lt;=5,"LITTLE IMPACT"
)</f>
        <v>HIGH IMPACT</v>
      </c>
    </row>
    <row r="15" spans="1:13" x14ac:dyDescent="0.25">
      <c r="A15" s="4">
        <v>25965</v>
      </c>
      <c r="B15" s="6" t="str">
        <f>_xlfn.CONCAT("Q",CEILING(Fuel_prices[[#This Row],[Month]]/3,1))</f>
        <v>Q1</v>
      </c>
      <c r="C15" s="6">
        <f>MONTH(Fuel_prices[[#This Row],[Date]])</f>
        <v>2</v>
      </c>
      <c r="D15" s="6" t="str">
        <f>TEXT(Fuel_prices[[#This Row],[Date]],"mmm")</f>
        <v>Feb</v>
      </c>
      <c r="E15" s="6">
        <f>YEAR(Fuel_prices[[#This Row],[Date]])</f>
        <v>1971</v>
      </c>
      <c r="F15" s="5">
        <v>1.64</v>
      </c>
      <c r="G15" s="2">
        <f ca="1">ROUND(IFERROR((Fuel_prices[[#This Row],[Crude_Oil_Price]]-OFFSET(Fuel_prices[[#This Row],[Crude_Oil_Price]],-1,0)),0),2)</f>
        <v>0</v>
      </c>
      <c r="H15" s="2">
        <f ca="1">ROUND((IFERROR((Fuel_prices[[#This Row],[Crude_Oil_Price]]-OFFSET(Fuel_prices[[#This Row],[Crude_Oil_Price]],-1,0))/(OFFSET(Fuel_prices[[#This Row],[Crude_Oil_Price]],-1,0)),0))*100,2)</f>
        <v>0</v>
      </c>
      <c r="I15" s="2" t="str" cm="1">
        <f t="array" aca="1" ref="I15" ca="1">_xlfn.IFS(
    ABS(Fuel_prices[[#This Row],[%_change]])&gt;50,"SEVERE IMPACT",
    ABS(Fuel_prices[[#This Row],[%_change]])&gt;25,"HIGH IMPACT",
    ABS(Fuel_prices[[#This Row],[%_change]])&gt;5,"MID IMPACT",
    ABS(Fuel_prices[[#This Row],[%_change]])&lt;=5,"LITTLE IMPACT"
)</f>
        <v>LITTLE IMPACT</v>
      </c>
    </row>
    <row r="16" spans="1:13" x14ac:dyDescent="0.25">
      <c r="A16" s="4">
        <v>25993</v>
      </c>
      <c r="B16" s="6" t="str">
        <f>_xlfn.CONCAT("Q",CEILING(Fuel_prices[[#This Row],[Month]]/3,1))</f>
        <v>Q1</v>
      </c>
      <c r="C16" s="6">
        <f>MONTH(Fuel_prices[[#This Row],[Date]])</f>
        <v>3</v>
      </c>
      <c r="D16" s="6" t="str">
        <f>TEXT(Fuel_prices[[#This Row],[Date]],"mmm")</f>
        <v>Mar</v>
      </c>
      <c r="E16" s="6">
        <f>YEAR(Fuel_prices[[#This Row],[Date]])</f>
        <v>1971</v>
      </c>
      <c r="F16" s="5">
        <v>1.64</v>
      </c>
      <c r="G16" s="2">
        <f ca="1">ROUND(IFERROR((Fuel_prices[[#This Row],[Crude_Oil_Price]]-OFFSET(Fuel_prices[[#This Row],[Crude_Oil_Price]],-1,0)),0),2)</f>
        <v>0</v>
      </c>
      <c r="H16" s="2">
        <f ca="1">ROUND((IFERROR((Fuel_prices[[#This Row],[Crude_Oil_Price]]-OFFSET(Fuel_prices[[#This Row],[Crude_Oil_Price]],-1,0))/(OFFSET(Fuel_prices[[#This Row],[Crude_Oil_Price]],-1,0)),0))*100,2)</f>
        <v>0</v>
      </c>
      <c r="I16" s="2" t="str" cm="1">
        <f t="array" aca="1" ref="I16" ca="1">_xlfn.IFS(
    ABS(Fuel_prices[[#This Row],[%_change]])&gt;50,"SEVERE IMPACT",
    ABS(Fuel_prices[[#This Row],[%_change]])&gt;25,"HIGH IMPACT",
    ABS(Fuel_prices[[#This Row],[%_change]])&gt;5,"MID IMPACT",
    ABS(Fuel_prices[[#This Row],[%_change]])&lt;=5,"LITTLE IMPACT"
)</f>
        <v>LITTLE IMPACT</v>
      </c>
    </row>
    <row r="17" spans="1:9" x14ac:dyDescent="0.25">
      <c r="A17" s="4">
        <v>26024</v>
      </c>
      <c r="B17" s="6" t="str">
        <f>_xlfn.CONCAT("Q",CEILING(Fuel_prices[[#This Row],[Month]]/3,1))</f>
        <v>Q2</v>
      </c>
      <c r="C17" s="6">
        <f>MONTH(Fuel_prices[[#This Row],[Date]])</f>
        <v>4</v>
      </c>
      <c r="D17" s="6" t="str">
        <f>TEXT(Fuel_prices[[#This Row],[Date]],"mmm")</f>
        <v>Apr</v>
      </c>
      <c r="E17" s="6">
        <f>YEAR(Fuel_prices[[#This Row],[Date]])</f>
        <v>1971</v>
      </c>
      <c r="F17" s="5">
        <v>1.64</v>
      </c>
      <c r="G17" s="2">
        <f ca="1">ROUND(IFERROR((Fuel_prices[[#This Row],[Crude_Oil_Price]]-OFFSET(Fuel_prices[[#This Row],[Crude_Oil_Price]],-1,0)),0),2)</f>
        <v>0</v>
      </c>
      <c r="H17" s="2">
        <f ca="1">ROUND((IFERROR((Fuel_prices[[#This Row],[Crude_Oil_Price]]-OFFSET(Fuel_prices[[#This Row],[Crude_Oil_Price]],-1,0))/(OFFSET(Fuel_prices[[#This Row],[Crude_Oil_Price]],-1,0)),0))*100,2)</f>
        <v>0</v>
      </c>
      <c r="I17" s="2" t="str" cm="1">
        <f t="array" aca="1" ref="I17" ca="1">_xlfn.IFS(
    ABS(Fuel_prices[[#This Row],[%_change]])&gt;50,"SEVERE IMPACT",
    ABS(Fuel_prices[[#This Row],[%_change]])&gt;25,"HIGH IMPACT",
    ABS(Fuel_prices[[#This Row],[%_change]])&gt;5,"MID IMPACT",
    ABS(Fuel_prices[[#This Row],[%_change]])&lt;=5,"LITTLE IMPACT"
)</f>
        <v>LITTLE IMPACT</v>
      </c>
    </row>
    <row r="18" spans="1:9" x14ac:dyDescent="0.25">
      <c r="A18" s="4">
        <v>26054</v>
      </c>
      <c r="B18" s="6" t="str">
        <f>_xlfn.CONCAT("Q",CEILING(Fuel_prices[[#This Row],[Month]]/3,1))</f>
        <v>Q2</v>
      </c>
      <c r="C18" s="6">
        <f>MONTH(Fuel_prices[[#This Row],[Date]])</f>
        <v>5</v>
      </c>
      <c r="D18" s="6" t="str">
        <f>TEXT(Fuel_prices[[#This Row],[Date]],"mmm")</f>
        <v>May</v>
      </c>
      <c r="E18" s="6">
        <f>YEAR(Fuel_prices[[#This Row],[Date]])</f>
        <v>1971</v>
      </c>
      <c r="F18" s="5">
        <v>1.64</v>
      </c>
      <c r="G18" s="2">
        <f ca="1">ROUND(IFERROR((Fuel_prices[[#This Row],[Crude_Oil_Price]]-OFFSET(Fuel_prices[[#This Row],[Crude_Oil_Price]],-1,0)),0),2)</f>
        <v>0</v>
      </c>
      <c r="H18" s="2">
        <f ca="1">ROUND((IFERROR((Fuel_prices[[#This Row],[Crude_Oil_Price]]-OFFSET(Fuel_prices[[#This Row],[Crude_Oil_Price]],-1,0))/(OFFSET(Fuel_prices[[#This Row],[Crude_Oil_Price]],-1,0)),0))*100,2)</f>
        <v>0</v>
      </c>
      <c r="I18" s="2" t="str" cm="1">
        <f t="array" aca="1" ref="I18" ca="1">_xlfn.IFS(
    ABS(Fuel_prices[[#This Row],[%_change]])&gt;50,"SEVERE IMPACT",
    ABS(Fuel_prices[[#This Row],[%_change]])&gt;25,"HIGH IMPACT",
    ABS(Fuel_prices[[#This Row],[%_change]])&gt;5,"MID IMPACT",
    ABS(Fuel_prices[[#This Row],[%_change]])&lt;=5,"LITTLE IMPACT"
)</f>
        <v>LITTLE IMPACT</v>
      </c>
    </row>
    <row r="19" spans="1:9" x14ac:dyDescent="0.25">
      <c r="A19" s="4">
        <v>26085</v>
      </c>
      <c r="B19" s="6" t="str">
        <f>_xlfn.CONCAT("Q",CEILING(Fuel_prices[[#This Row],[Month]]/3,1))</f>
        <v>Q2</v>
      </c>
      <c r="C19" s="6">
        <f>MONTH(Fuel_prices[[#This Row],[Date]])</f>
        <v>6</v>
      </c>
      <c r="D19" s="6" t="str">
        <f>TEXT(Fuel_prices[[#This Row],[Date]],"mmm")</f>
        <v>Jun</v>
      </c>
      <c r="E19" s="6">
        <f>YEAR(Fuel_prices[[#This Row],[Date]])</f>
        <v>1971</v>
      </c>
      <c r="F19" s="5">
        <v>1.64</v>
      </c>
      <c r="G19" s="2">
        <f ca="1">ROUND(IFERROR((Fuel_prices[[#This Row],[Crude_Oil_Price]]-OFFSET(Fuel_prices[[#This Row],[Crude_Oil_Price]],-1,0)),0),2)</f>
        <v>0</v>
      </c>
      <c r="H19" s="2">
        <f ca="1">ROUND((IFERROR((Fuel_prices[[#This Row],[Crude_Oil_Price]]-OFFSET(Fuel_prices[[#This Row],[Crude_Oil_Price]],-1,0))/(OFFSET(Fuel_prices[[#This Row],[Crude_Oil_Price]],-1,0)),0))*100,2)</f>
        <v>0</v>
      </c>
      <c r="I19" s="2" t="str" cm="1">
        <f t="array" aca="1" ref="I19" ca="1">_xlfn.IFS(
    ABS(Fuel_prices[[#This Row],[%_change]])&gt;50,"SEVERE IMPACT",
    ABS(Fuel_prices[[#This Row],[%_change]])&gt;25,"HIGH IMPACT",
    ABS(Fuel_prices[[#This Row],[%_change]])&gt;5,"MID IMPACT",
    ABS(Fuel_prices[[#This Row],[%_change]])&lt;=5,"LITTLE IMPACT"
)</f>
        <v>LITTLE IMPACT</v>
      </c>
    </row>
    <row r="20" spans="1:9" x14ac:dyDescent="0.25">
      <c r="A20" s="4">
        <v>26115</v>
      </c>
      <c r="B20" s="6" t="str">
        <f>_xlfn.CONCAT("Q",CEILING(Fuel_prices[[#This Row],[Month]]/3,1))</f>
        <v>Q3</v>
      </c>
      <c r="C20" s="6">
        <f>MONTH(Fuel_prices[[#This Row],[Date]])</f>
        <v>7</v>
      </c>
      <c r="D20" s="6" t="str">
        <f>TEXT(Fuel_prices[[#This Row],[Date]],"mmm")</f>
        <v>Jul</v>
      </c>
      <c r="E20" s="6">
        <f>YEAR(Fuel_prices[[#This Row],[Date]])</f>
        <v>1971</v>
      </c>
      <c r="F20" s="5">
        <v>1.74</v>
      </c>
      <c r="G20" s="2">
        <f ca="1">ROUND(IFERROR((Fuel_prices[[#This Row],[Crude_Oil_Price]]-OFFSET(Fuel_prices[[#This Row],[Crude_Oil_Price]],-1,0)),0),2)</f>
        <v>0.1</v>
      </c>
      <c r="H20" s="2">
        <f ca="1">ROUND((IFERROR((Fuel_prices[[#This Row],[Crude_Oil_Price]]-OFFSET(Fuel_prices[[#This Row],[Crude_Oil_Price]],-1,0))/(OFFSET(Fuel_prices[[#This Row],[Crude_Oil_Price]],-1,0)),0))*100,2)</f>
        <v>6.1</v>
      </c>
      <c r="I20" s="2" t="str" cm="1">
        <f t="array" aca="1" ref="I20" ca="1">_xlfn.IFS(
    ABS(Fuel_prices[[#This Row],[%_change]])&gt;50,"SEVERE IMPACT",
    ABS(Fuel_prices[[#This Row],[%_change]])&gt;25,"HIGH IMPACT",
    ABS(Fuel_prices[[#This Row],[%_change]])&gt;5,"MID IMPACT",
    ABS(Fuel_prices[[#This Row],[%_change]])&lt;=5,"LITTLE IMPACT"
)</f>
        <v>MID IMPACT</v>
      </c>
    </row>
    <row r="21" spans="1:9" x14ac:dyDescent="0.25">
      <c r="A21" s="4">
        <v>26146</v>
      </c>
      <c r="B21" s="6" t="str">
        <f>_xlfn.CONCAT("Q",CEILING(Fuel_prices[[#This Row],[Month]]/3,1))</f>
        <v>Q3</v>
      </c>
      <c r="C21" s="6">
        <f>MONTH(Fuel_prices[[#This Row],[Date]])</f>
        <v>8</v>
      </c>
      <c r="D21" s="6" t="str">
        <f>TEXT(Fuel_prices[[#This Row],[Date]],"mmm")</f>
        <v>Aug</v>
      </c>
      <c r="E21" s="6">
        <f>YEAR(Fuel_prices[[#This Row],[Date]])</f>
        <v>1971</v>
      </c>
      <c r="F21" s="5">
        <v>1.74</v>
      </c>
      <c r="G21" s="2">
        <f ca="1">ROUND(IFERROR((Fuel_prices[[#This Row],[Crude_Oil_Price]]-OFFSET(Fuel_prices[[#This Row],[Crude_Oil_Price]],-1,0)),0),2)</f>
        <v>0</v>
      </c>
      <c r="H21" s="2">
        <f ca="1">ROUND((IFERROR((Fuel_prices[[#This Row],[Crude_Oil_Price]]-OFFSET(Fuel_prices[[#This Row],[Crude_Oil_Price]],-1,0))/(OFFSET(Fuel_prices[[#This Row],[Crude_Oil_Price]],-1,0)),0))*100,2)</f>
        <v>0</v>
      </c>
      <c r="I21" s="2" t="str" cm="1">
        <f t="array" aca="1" ref="I21" ca="1">_xlfn.IFS(
    ABS(Fuel_prices[[#This Row],[%_change]])&gt;50,"SEVERE IMPACT",
    ABS(Fuel_prices[[#This Row],[%_change]])&gt;25,"HIGH IMPACT",
    ABS(Fuel_prices[[#This Row],[%_change]])&gt;5,"MID IMPACT",
    ABS(Fuel_prices[[#This Row],[%_change]])&lt;=5,"LITTLE IMPACT"
)</f>
        <v>LITTLE IMPACT</v>
      </c>
    </row>
    <row r="22" spans="1:9" x14ac:dyDescent="0.25">
      <c r="A22" s="4">
        <v>26177</v>
      </c>
      <c r="B22" s="6" t="str">
        <f>_xlfn.CONCAT("Q",CEILING(Fuel_prices[[#This Row],[Month]]/3,1))</f>
        <v>Q3</v>
      </c>
      <c r="C22" s="6">
        <f>MONTH(Fuel_prices[[#This Row],[Date]])</f>
        <v>9</v>
      </c>
      <c r="D22" s="6" t="str">
        <f>TEXT(Fuel_prices[[#This Row],[Date]],"mmm")</f>
        <v>Sep</v>
      </c>
      <c r="E22" s="6">
        <f>YEAR(Fuel_prices[[#This Row],[Date]])</f>
        <v>1971</v>
      </c>
      <c r="F22" s="5">
        <v>1.74</v>
      </c>
      <c r="G22" s="2">
        <f ca="1">ROUND(IFERROR((Fuel_prices[[#This Row],[Crude_Oil_Price]]-OFFSET(Fuel_prices[[#This Row],[Crude_Oil_Price]],-1,0)),0),2)</f>
        <v>0</v>
      </c>
      <c r="H22" s="2">
        <f ca="1">ROUND((IFERROR((Fuel_prices[[#This Row],[Crude_Oil_Price]]-OFFSET(Fuel_prices[[#This Row],[Crude_Oil_Price]],-1,0))/(OFFSET(Fuel_prices[[#This Row],[Crude_Oil_Price]],-1,0)),0))*100,2)</f>
        <v>0</v>
      </c>
      <c r="I22" s="2" t="str" cm="1">
        <f t="array" aca="1" ref="I22" ca="1">_xlfn.IFS(
    ABS(Fuel_prices[[#This Row],[%_change]])&gt;50,"SEVERE IMPACT",
    ABS(Fuel_prices[[#This Row],[%_change]])&gt;25,"HIGH IMPACT",
    ABS(Fuel_prices[[#This Row],[%_change]])&gt;5,"MID IMPACT",
    ABS(Fuel_prices[[#This Row],[%_change]])&lt;=5,"LITTLE IMPACT"
)</f>
        <v>LITTLE IMPACT</v>
      </c>
    </row>
    <row r="23" spans="1:9" x14ac:dyDescent="0.25">
      <c r="A23" s="4">
        <v>26207</v>
      </c>
      <c r="B23" s="6" t="str">
        <f>_xlfn.CONCAT("Q",CEILING(Fuel_prices[[#This Row],[Month]]/3,1))</f>
        <v>Q4</v>
      </c>
      <c r="C23" s="6">
        <f>MONTH(Fuel_prices[[#This Row],[Date]])</f>
        <v>10</v>
      </c>
      <c r="D23" s="6" t="str">
        <f>TEXT(Fuel_prices[[#This Row],[Date]],"mmm")</f>
        <v>Oct</v>
      </c>
      <c r="E23" s="6">
        <f>YEAR(Fuel_prices[[#This Row],[Date]])</f>
        <v>1971</v>
      </c>
      <c r="F23" s="5">
        <v>1.74</v>
      </c>
      <c r="G23" s="2">
        <f ca="1">ROUND(IFERROR((Fuel_prices[[#This Row],[Crude_Oil_Price]]-OFFSET(Fuel_prices[[#This Row],[Crude_Oil_Price]],-1,0)),0),2)</f>
        <v>0</v>
      </c>
      <c r="H23" s="2">
        <f ca="1">ROUND((IFERROR((Fuel_prices[[#This Row],[Crude_Oil_Price]]-OFFSET(Fuel_prices[[#This Row],[Crude_Oil_Price]],-1,0))/(OFFSET(Fuel_prices[[#This Row],[Crude_Oil_Price]],-1,0)),0))*100,2)</f>
        <v>0</v>
      </c>
      <c r="I23" s="2" t="str" cm="1">
        <f t="array" aca="1" ref="I23" ca="1">_xlfn.IFS(
    ABS(Fuel_prices[[#This Row],[%_change]])&gt;50,"SEVERE IMPACT",
    ABS(Fuel_prices[[#This Row],[%_change]])&gt;25,"HIGH IMPACT",
    ABS(Fuel_prices[[#This Row],[%_change]])&gt;5,"MID IMPACT",
    ABS(Fuel_prices[[#This Row],[%_change]])&lt;=5,"LITTLE IMPACT"
)</f>
        <v>LITTLE IMPACT</v>
      </c>
    </row>
    <row r="24" spans="1:9" x14ac:dyDescent="0.25">
      <c r="A24" s="4">
        <v>26238</v>
      </c>
      <c r="B24" s="6" t="str">
        <f>_xlfn.CONCAT("Q",CEILING(Fuel_prices[[#This Row],[Month]]/3,1))</f>
        <v>Q4</v>
      </c>
      <c r="C24" s="6">
        <f>MONTH(Fuel_prices[[#This Row],[Date]])</f>
        <v>11</v>
      </c>
      <c r="D24" s="6" t="str">
        <f>TEXT(Fuel_prices[[#This Row],[Date]],"mmm")</f>
        <v>Nov</v>
      </c>
      <c r="E24" s="6">
        <f>YEAR(Fuel_prices[[#This Row],[Date]])</f>
        <v>1971</v>
      </c>
      <c r="F24" s="5">
        <v>1.74</v>
      </c>
      <c r="G24" s="2">
        <f ca="1">ROUND(IFERROR((Fuel_prices[[#This Row],[Crude_Oil_Price]]-OFFSET(Fuel_prices[[#This Row],[Crude_Oil_Price]],-1,0)),0),2)</f>
        <v>0</v>
      </c>
      <c r="H24" s="2">
        <f ca="1">ROUND((IFERROR((Fuel_prices[[#This Row],[Crude_Oil_Price]]-OFFSET(Fuel_prices[[#This Row],[Crude_Oil_Price]],-1,0))/(OFFSET(Fuel_prices[[#This Row],[Crude_Oil_Price]],-1,0)),0))*100,2)</f>
        <v>0</v>
      </c>
      <c r="I24" s="2" t="str" cm="1">
        <f t="array" aca="1" ref="I24" ca="1">_xlfn.IFS(
    ABS(Fuel_prices[[#This Row],[%_change]])&gt;50,"SEVERE IMPACT",
    ABS(Fuel_prices[[#This Row],[%_change]])&gt;25,"HIGH IMPACT",
    ABS(Fuel_prices[[#This Row],[%_change]])&gt;5,"MID IMPACT",
    ABS(Fuel_prices[[#This Row],[%_change]])&lt;=5,"LITTLE IMPACT"
)</f>
        <v>LITTLE IMPACT</v>
      </c>
    </row>
    <row r="25" spans="1:9" x14ac:dyDescent="0.25">
      <c r="A25" s="4">
        <v>26268</v>
      </c>
      <c r="B25" s="6" t="str">
        <f>_xlfn.CONCAT("Q",CEILING(Fuel_prices[[#This Row],[Month]]/3,1))</f>
        <v>Q4</v>
      </c>
      <c r="C25" s="6">
        <f>MONTH(Fuel_prices[[#This Row],[Date]])</f>
        <v>12</v>
      </c>
      <c r="D25" s="6" t="str">
        <f>TEXT(Fuel_prices[[#This Row],[Date]],"mmm")</f>
        <v>Dec</v>
      </c>
      <c r="E25" s="6">
        <f>YEAR(Fuel_prices[[#This Row],[Date]])</f>
        <v>1971</v>
      </c>
      <c r="F25" s="5">
        <v>1.74</v>
      </c>
      <c r="G25" s="2">
        <f ca="1">ROUND(IFERROR((Fuel_prices[[#This Row],[Crude_Oil_Price]]-OFFSET(Fuel_prices[[#This Row],[Crude_Oil_Price]],-1,0)),0),2)</f>
        <v>0</v>
      </c>
      <c r="H25" s="2">
        <f ca="1">ROUND((IFERROR((Fuel_prices[[#This Row],[Crude_Oil_Price]]-OFFSET(Fuel_prices[[#This Row],[Crude_Oil_Price]],-1,0))/(OFFSET(Fuel_prices[[#This Row],[Crude_Oil_Price]],-1,0)),0))*100,2)</f>
        <v>0</v>
      </c>
      <c r="I25" s="2" t="str" cm="1">
        <f t="array" aca="1" ref="I25" ca="1">_xlfn.IFS(
    ABS(Fuel_prices[[#This Row],[%_change]])&gt;50,"SEVERE IMPACT",
    ABS(Fuel_prices[[#This Row],[%_change]])&gt;25,"HIGH IMPACT",
    ABS(Fuel_prices[[#This Row],[%_change]])&gt;5,"MID IMPACT",
    ABS(Fuel_prices[[#This Row],[%_change]])&lt;=5,"LITTLE IMPACT"
)</f>
        <v>LITTLE IMPACT</v>
      </c>
    </row>
    <row r="26" spans="1:9" x14ac:dyDescent="0.25">
      <c r="A26" s="4">
        <v>26299</v>
      </c>
      <c r="B26" s="6" t="str">
        <f>_xlfn.CONCAT("Q",CEILING(Fuel_prices[[#This Row],[Month]]/3,1))</f>
        <v>Q1</v>
      </c>
      <c r="C26" s="6">
        <f>MONTH(Fuel_prices[[#This Row],[Date]])</f>
        <v>1</v>
      </c>
      <c r="D26" s="6" t="str">
        <f>TEXT(Fuel_prices[[#This Row],[Date]],"mmm")</f>
        <v>Jan</v>
      </c>
      <c r="E26" s="6">
        <f>YEAR(Fuel_prices[[#This Row],[Date]])</f>
        <v>1972</v>
      </c>
      <c r="F26" s="5">
        <v>1.77</v>
      </c>
      <c r="G26" s="2">
        <f ca="1">ROUND(IFERROR((Fuel_prices[[#This Row],[Crude_Oil_Price]]-OFFSET(Fuel_prices[[#This Row],[Crude_Oil_Price]],-1,0)),0),2)</f>
        <v>0.03</v>
      </c>
      <c r="H26" s="2">
        <f ca="1">ROUND((IFERROR((Fuel_prices[[#This Row],[Crude_Oil_Price]]-OFFSET(Fuel_prices[[#This Row],[Crude_Oil_Price]],-1,0))/(OFFSET(Fuel_prices[[#This Row],[Crude_Oil_Price]],-1,0)),0))*100,2)</f>
        <v>1.72</v>
      </c>
      <c r="I26" s="2" t="str" cm="1">
        <f t="array" aca="1" ref="I26" ca="1">_xlfn.IFS(
    ABS(Fuel_prices[[#This Row],[%_change]])&gt;50,"SEVERE IMPACT",
    ABS(Fuel_prices[[#This Row],[%_change]])&gt;25,"HIGH IMPACT",
    ABS(Fuel_prices[[#This Row],[%_change]])&gt;5,"MID IMPACT",
    ABS(Fuel_prices[[#This Row],[%_change]])&lt;=5,"LITTLE IMPACT"
)</f>
        <v>LITTLE IMPACT</v>
      </c>
    </row>
    <row r="27" spans="1:9" x14ac:dyDescent="0.25">
      <c r="A27" s="4">
        <v>26330</v>
      </c>
      <c r="B27" s="6" t="str">
        <f>_xlfn.CONCAT("Q",CEILING(Fuel_prices[[#This Row],[Month]]/3,1))</f>
        <v>Q1</v>
      </c>
      <c r="C27" s="6">
        <f>MONTH(Fuel_prices[[#This Row],[Date]])</f>
        <v>2</v>
      </c>
      <c r="D27" s="6" t="str">
        <f>TEXT(Fuel_prices[[#This Row],[Date]],"mmm")</f>
        <v>Feb</v>
      </c>
      <c r="E27" s="6">
        <f>YEAR(Fuel_prices[[#This Row],[Date]])</f>
        <v>1972</v>
      </c>
      <c r="F27" s="5">
        <v>1.77</v>
      </c>
      <c r="G27" s="2">
        <f ca="1">ROUND(IFERROR((Fuel_prices[[#This Row],[Crude_Oil_Price]]-OFFSET(Fuel_prices[[#This Row],[Crude_Oil_Price]],-1,0)),0),2)</f>
        <v>0</v>
      </c>
      <c r="H27" s="2">
        <f ca="1">ROUND((IFERROR((Fuel_prices[[#This Row],[Crude_Oil_Price]]-OFFSET(Fuel_prices[[#This Row],[Crude_Oil_Price]],-1,0))/(OFFSET(Fuel_prices[[#This Row],[Crude_Oil_Price]],-1,0)),0))*100,2)</f>
        <v>0</v>
      </c>
      <c r="I27" s="2" t="str" cm="1">
        <f t="array" aca="1" ref="I27" ca="1">_xlfn.IFS(
    ABS(Fuel_prices[[#This Row],[%_change]])&gt;50,"SEVERE IMPACT",
    ABS(Fuel_prices[[#This Row],[%_change]])&gt;25,"HIGH IMPACT",
    ABS(Fuel_prices[[#This Row],[%_change]])&gt;5,"MID IMPACT",
    ABS(Fuel_prices[[#This Row],[%_change]])&lt;=5,"LITTLE IMPACT"
)</f>
        <v>LITTLE IMPACT</v>
      </c>
    </row>
    <row r="28" spans="1:9" x14ac:dyDescent="0.25">
      <c r="A28" s="4">
        <v>26359</v>
      </c>
      <c r="B28" s="6" t="str">
        <f>_xlfn.CONCAT("Q",CEILING(Fuel_prices[[#This Row],[Month]]/3,1))</f>
        <v>Q1</v>
      </c>
      <c r="C28" s="6">
        <f>MONTH(Fuel_prices[[#This Row],[Date]])</f>
        <v>3</v>
      </c>
      <c r="D28" s="6" t="str">
        <f>TEXT(Fuel_prices[[#This Row],[Date]],"mmm")</f>
        <v>Mar</v>
      </c>
      <c r="E28" s="6">
        <f>YEAR(Fuel_prices[[#This Row],[Date]])</f>
        <v>1972</v>
      </c>
      <c r="F28" s="5">
        <v>1.77</v>
      </c>
      <c r="G28" s="2">
        <f ca="1">ROUND(IFERROR((Fuel_prices[[#This Row],[Crude_Oil_Price]]-OFFSET(Fuel_prices[[#This Row],[Crude_Oil_Price]],-1,0)),0),2)</f>
        <v>0</v>
      </c>
      <c r="H28" s="2">
        <f ca="1">ROUND((IFERROR((Fuel_prices[[#This Row],[Crude_Oil_Price]]-OFFSET(Fuel_prices[[#This Row],[Crude_Oil_Price]],-1,0))/(OFFSET(Fuel_prices[[#This Row],[Crude_Oil_Price]],-1,0)),0))*100,2)</f>
        <v>0</v>
      </c>
      <c r="I28" s="2" t="str" cm="1">
        <f t="array" aca="1" ref="I28" ca="1">_xlfn.IFS(
    ABS(Fuel_prices[[#This Row],[%_change]])&gt;50,"SEVERE IMPACT",
    ABS(Fuel_prices[[#This Row],[%_change]])&gt;25,"HIGH IMPACT",
    ABS(Fuel_prices[[#This Row],[%_change]])&gt;5,"MID IMPACT",
    ABS(Fuel_prices[[#This Row],[%_change]])&lt;=5,"LITTLE IMPACT"
)</f>
        <v>LITTLE IMPACT</v>
      </c>
    </row>
    <row r="29" spans="1:9" x14ac:dyDescent="0.25">
      <c r="A29" s="4">
        <v>26390</v>
      </c>
      <c r="B29" s="6" t="str">
        <f>_xlfn.CONCAT("Q",CEILING(Fuel_prices[[#This Row],[Month]]/3,1))</f>
        <v>Q2</v>
      </c>
      <c r="C29" s="6">
        <f>MONTH(Fuel_prices[[#This Row],[Date]])</f>
        <v>4</v>
      </c>
      <c r="D29" s="6" t="str">
        <f>TEXT(Fuel_prices[[#This Row],[Date]],"mmm")</f>
        <v>Apr</v>
      </c>
      <c r="E29" s="6">
        <f>YEAR(Fuel_prices[[#This Row],[Date]])</f>
        <v>1972</v>
      </c>
      <c r="F29" s="5">
        <v>1.77</v>
      </c>
      <c r="G29" s="2">
        <f ca="1">ROUND(IFERROR((Fuel_prices[[#This Row],[Crude_Oil_Price]]-OFFSET(Fuel_prices[[#This Row],[Crude_Oil_Price]],-1,0)),0),2)</f>
        <v>0</v>
      </c>
      <c r="H29" s="2">
        <f ca="1">ROUND((IFERROR((Fuel_prices[[#This Row],[Crude_Oil_Price]]-OFFSET(Fuel_prices[[#This Row],[Crude_Oil_Price]],-1,0))/(OFFSET(Fuel_prices[[#This Row],[Crude_Oil_Price]],-1,0)),0))*100,2)</f>
        <v>0</v>
      </c>
      <c r="I29" s="2" t="str" cm="1">
        <f t="array" aca="1" ref="I29" ca="1">_xlfn.IFS(
    ABS(Fuel_prices[[#This Row],[%_change]])&gt;50,"SEVERE IMPACT",
    ABS(Fuel_prices[[#This Row],[%_change]])&gt;25,"HIGH IMPACT",
    ABS(Fuel_prices[[#This Row],[%_change]])&gt;5,"MID IMPACT",
    ABS(Fuel_prices[[#This Row],[%_change]])&lt;=5,"LITTLE IMPACT"
)</f>
        <v>LITTLE IMPACT</v>
      </c>
    </row>
    <row r="30" spans="1:9" x14ac:dyDescent="0.25">
      <c r="A30" s="4">
        <v>26420</v>
      </c>
      <c r="B30" s="6" t="str">
        <f>_xlfn.CONCAT("Q",CEILING(Fuel_prices[[#This Row],[Month]]/3,1))</f>
        <v>Q2</v>
      </c>
      <c r="C30" s="6">
        <f>MONTH(Fuel_prices[[#This Row],[Date]])</f>
        <v>5</v>
      </c>
      <c r="D30" s="6" t="str">
        <f>TEXT(Fuel_prices[[#This Row],[Date]],"mmm")</f>
        <v>May</v>
      </c>
      <c r="E30" s="6">
        <f>YEAR(Fuel_prices[[#This Row],[Date]])</f>
        <v>1972</v>
      </c>
      <c r="F30" s="5">
        <v>1.77</v>
      </c>
      <c r="G30" s="2">
        <f ca="1">ROUND(IFERROR((Fuel_prices[[#This Row],[Crude_Oil_Price]]-OFFSET(Fuel_prices[[#This Row],[Crude_Oil_Price]],-1,0)),0),2)</f>
        <v>0</v>
      </c>
      <c r="H30" s="2">
        <f ca="1">ROUND((IFERROR((Fuel_prices[[#This Row],[Crude_Oil_Price]]-OFFSET(Fuel_prices[[#This Row],[Crude_Oil_Price]],-1,0))/(OFFSET(Fuel_prices[[#This Row],[Crude_Oil_Price]],-1,0)),0))*100,2)</f>
        <v>0</v>
      </c>
      <c r="I30" s="2" t="str" cm="1">
        <f t="array" aca="1" ref="I30" ca="1">_xlfn.IFS(
    ABS(Fuel_prices[[#This Row],[%_change]])&gt;50,"SEVERE IMPACT",
    ABS(Fuel_prices[[#This Row],[%_change]])&gt;25,"HIGH IMPACT",
    ABS(Fuel_prices[[#This Row],[%_change]])&gt;5,"MID IMPACT",
    ABS(Fuel_prices[[#This Row],[%_change]])&lt;=5,"LITTLE IMPACT"
)</f>
        <v>LITTLE IMPACT</v>
      </c>
    </row>
    <row r="31" spans="1:9" x14ac:dyDescent="0.25">
      <c r="A31" s="4">
        <v>26451</v>
      </c>
      <c r="B31" s="6" t="str">
        <f>_xlfn.CONCAT("Q",CEILING(Fuel_prices[[#This Row],[Month]]/3,1))</f>
        <v>Q2</v>
      </c>
      <c r="C31" s="6">
        <f>MONTH(Fuel_prices[[#This Row],[Date]])</f>
        <v>6</v>
      </c>
      <c r="D31" s="6" t="str">
        <f>TEXT(Fuel_prices[[#This Row],[Date]],"mmm")</f>
        <v>Jun</v>
      </c>
      <c r="E31" s="6">
        <f>YEAR(Fuel_prices[[#This Row],[Date]])</f>
        <v>1972</v>
      </c>
      <c r="F31" s="5">
        <v>1.77</v>
      </c>
      <c r="G31" s="2">
        <f ca="1">ROUND(IFERROR((Fuel_prices[[#This Row],[Crude_Oil_Price]]-OFFSET(Fuel_prices[[#This Row],[Crude_Oil_Price]],-1,0)),0),2)</f>
        <v>0</v>
      </c>
      <c r="H31" s="2">
        <f ca="1">ROUND((IFERROR((Fuel_prices[[#This Row],[Crude_Oil_Price]]-OFFSET(Fuel_prices[[#This Row],[Crude_Oil_Price]],-1,0))/(OFFSET(Fuel_prices[[#This Row],[Crude_Oil_Price]],-1,0)),0))*100,2)</f>
        <v>0</v>
      </c>
      <c r="I31" s="2" t="str" cm="1">
        <f t="array" aca="1" ref="I31" ca="1">_xlfn.IFS(
    ABS(Fuel_prices[[#This Row],[%_change]])&gt;50,"SEVERE IMPACT",
    ABS(Fuel_prices[[#This Row],[%_change]])&gt;25,"HIGH IMPACT",
    ABS(Fuel_prices[[#This Row],[%_change]])&gt;5,"MID IMPACT",
    ABS(Fuel_prices[[#This Row],[%_change]])&lt;=5,"LITTLE IMPACT"
)</f>
        <v>LITTLE IMPACT</v>
      </c>
    </row>
    <row r="32" spans="1:9" x14ac:dyDescent="0.25">
      <c r="A32" s="4">
        <v>26481</v>
      </c>
      <c r="B32" s="6" t="str">
        <f>_xlfn.CONCAT("Q",CEILING(Fuel_prices[[#This Row],[Month]]/3,1))</f>
        <v>Q3</v>
      </c>
      <c r="C32" s="6">
        <f>MONTH(Fuel_prices[[#This Row],[Date]])</f>
        <v>7</v>
      </c>
      <c r="D32" s="6" t="str">
        <f>TEXT(Fuel_prices[[#This Row],[Date]],"mmm")</f>
        <v>Jul</v>
      </c>
      <c r="E32" s="6">
        <f>YEAR(Fuel_prices[[#This Row],[Date]])</f>
        <v>1972</v>
      </c>
      <c r="F32" s="5">
        <v>1.87</v>
      </c>
      <c r="G32" s="2">
        <f ca="1">ROUND(IFERROR((Fuel_prices[[#This Row],[Crude_Oil_Price]]-OFFSET(Fuel_prices[[#This Row],[Crude_Oil_Price]],-1,0)),0),2)</f>
        <v>0.1</v>
      </c>
      <c r="H32" s="2">
        <f ca="1">ROUND((IFERROR((Fuel_prices[[#This Row],[Crude_Oil_Price]]-OFFSET(Fuel_prices[[#This Row],[Crude_Oil_Price]],-1,0))/(OFFSET(Fuel_prices[[#This Row],[Crude_Oil_Price]],-1,0)),0))*100,2)</f>
        <v>5.65</v>
      </c>
      <c r="I32" s="2" t="str" cm="1">
        <f t="array" aca="1" ref="I32" ca="1">_xlfn.IFS(
    ABS(Fuel_prices[[#This Row],[%_change]])&gt;50,"SEVERE IMPACT",
    ABS(Fuel_prices[[#This Row],[%_change]])&gt;25,"HIGH IMPACT",
    ABS(Fuel_prices[[#This Row],[%_change]])&gt;5,"MID IMPACT",
    ABS(Fuel_prices[[#This Row],[%_change]])&lt;=5,"LITTLE IMPACT"
)</f>
        <v>MID IMPACT</v>
      </c>
    </row>
    <row r="33" spans="1:9" x14ac:dyDescent="0.25">
      <c r="A33" s="4">
        <v>26512</v>
      </c>
      <c r="B33" s="6" t="str">
        <f>_xlfn.CONCAT("Q",CEILING(Fuel_prices[[#This Row],[Month]]/3,1))</f>
        <v>Q3</v>
      </c>
      <c r="C33" s="6">
        <f>MONTH(Fuel_prices[[#This Row],[Date]])</f>
        <v>8</v>
      </c>
      <c r="D33" s="6" t="str">
        <f>TEXT(Fuel_prices[[#This Row],[Date]],"mmm")</f>
        <v>Aug</v>
      </c>
      <c r="E33" s="6">
        <f>YEAR(Fuel_prices[[#This Row],[Date]])</f>
        <v>1972</v>
      </c>
      <c r="F33" s="5">
        <v>1.87</v>
      </c>
      <c r="G33" s="2">
        <f ca="1">ROUND(IFERROR((Fuel_prices[[#This Row],[Crude_Oil_Price]]-OFFSET(Fuel_prices[[#This Row],[Crude_Oil_Price]],-1,0)),0),2)</f>
        <v>0</v>
      </c>
      <c r="H33" s="2">
        <f ca="1">ROUND((IFERROR((Fuel_prices[[#This Row],[Crude_Oil_Price]]-OFFSET(Fuel_prices[[#This Row],[Crude_Oil_Price]],-1,0))/(OFFSET(Fuel_prices[[#This Row],[Crude_Oil_Price]],-1,0)),0))*100,2)</f>
        <v>0</v>
      </c>
      <c r="I33" s="2" t="str" cm="1">
        <f t="array" aca="1" ref="I33" ca="1">_xlfn.IFS(
    ABS(Fuel_prices[[#This Row],[%_change]])&gt;50,"SEVERE IMPACT",
    ABS(Fuel_prices[[#This Row],[%_change]])&gt;25,"HIGH IMPACT",
    ABS(Fuel_prices[[#This Row],[%_change]])&gt;5,"MID IMPACT",
    ABS(Fuel_prices[[#This Row],[%_change]])&lt;=5,"LITTLE IMPACT"
)</f>
        <v>LITTLE IMPACT</v>
      </c>
    </row>
    <row r="34" spans="1:9" x14ac:dyDescent="0.25">
      <c r="A34" s="4">
        <v>26543</v>
      </c>
      <c r="B34" s="6" t="str">
        <f>_xlfn.CONCAT("Q",CEILING(Fuel_prices[[#This Row],[Month]]/3,1))</f>
        <v>Q3</v>
      </c>
      <c r="C34" s="6">
        <f>MONTH(Fuel_prices[[#This Row],[Date]])</f>
        <v>9</v>
      </c>
      <c r="D34" s="6" t="str">
        <f>TEXT(Fuel_prices[[#This Row],[Date]],"mmm")</f>
        <v>Sep</v>
      </c>
      <c r="E34" s="6">
        <f>YEAR(Fuel_prices[[#This Row],[Date]])</f>
        <v>1972</v>
      </c>
      <c r="F34" s="5">
        <v>1.87</v>
      </c>
      <c r="G34" s="2">
        <f ca="1">ROUND(IFERROR((Fuel_prices[[#This Row],[Crude_Oil_Price]]-OFFSET(Fuel_prices[[#This Row],[Crude_Oil_Price]],-1,0)),0),2)</f>
        <v>0</v>
      </c>
      <c r="H34" s="2">
        <f ca="1">ROUND((IFERROR((Fuel_prices[[#This Row],[Crude_Oil_Price]]-OFFSET(Fuel_prices[[#This Row],[Crude_Oil_Price]],-1,0))/(OFFSET(Fuel_prices[[#This Row],[Crude_Oil_Price]],-1,0)),0))*100,2)</f>
        <v>0</v>
      </c>
      <c r="I34" s="2" t="str" cm="1">
        <f t="array" aca="1" ref="I34" ca="1">_xlfn.IFS(
    ABS(Fuel_prices[[#This Row],[%_change]])&gt;50,"SEVERE IMPACT",
    ABS(Fuel_prices[[#This Row],[%_change]])&gt;25,"HIGH IMPACT",
    ABS(Fuel_prices[[#This Row],[%_change]])&gt;5,"MID IMPACT",
    ABS(Fuel_prices[[#This Row],[%_change]])&lt;=5,"LITTLE IMPACT"
)</f>
        <v>LITTLE IMPACT</v>
      </c>
    </row>
    <row r="35" spans="1:9" x14ac:dyDescent="0.25">
      <c r="A35" s="4">
        <v>26573</v>
      </c>
      <c r="B35" s="6" t="str">
        <f>_xlfn.CONCAT("Q",CEILING(Fuel_prices[[#This Row],[Month]]/3,1))</f>
        <v>Q4</v>
      </c>
      <c r="C35" s="6">
        <f>MONTH(Fuel_prices[[#This Row],[Date]])</f>
        <v>10</v>
      </c>
      <c r="D35" s="6" t="str">
        <f>TEXT(Fuel_prices[[#This Row],[Date]],"mmm")</f>
        <v>Oct</v>
      </c>
      <c r="E35" s="6">
        <f>YEAR(Fuel_prices[[#This Row],[Date]])</f>
        <v>1972</v>
      </c>
      <c r="F35" s="5">
        <v>1.87</v>
      </c>
      <c r="G35" s="2">
        <f ca="1">ROUND(IFERROR((Fuel_prices[[#This Row],[Crude_Oil_Price]]-OFFSET(Fuel_prices[[#This Row],[Crude_Oil_Price]],-1,0)),0),2)</f>
        <v>0</v>
      </c>
      <c r="H35" s="2">
        <f ca="1">ROUND((IFERROR((Fuel_prices[[#This Row],[Crude_Oil_Price]]-OFFSET(Fuel_prices[[#This Row],[Crude_Oil_Price]],-1,0))/(OFFSET(Fuel_prices[[#This Row],[Crude_Oil_Price]],-1,0)),0))*100,2)</f>
        <v>0</v>
      </c>
      <c r="I35" s="2" t="str" cm="1">
        <f t="array" aca="1" ref="I35" ca="1">_xlfn.IFS(
    ABS(Fuel_prices[[#This Row],[%_change]])&gt;50,"SEVERE IMPACT",
    ABS(Fuel_prices[[#This Row],[%_change]])&gt;25,"HIGH IMPACT",
    ABS(Fuel_prices[[#This Row],[%_change]])&gt;5,"MID IMPACT",
    ABS(Fuel_prices[[#This Row],[%_change]])&lt;=5,"LITTLE IMPACT"
)</f>
        <v>LITTLE IMPACT</v>
      </c>
    </row>
    <row r="36" spans="1:9" x14ac:dyDescent="0.25">
      <c r="A36" s="4">
        <v>26604</v>
      </c>
      <c r="B36" s="6" t="str">
        <f>_xlfn.CONCAT("Q",CEILING(Fuel_prices[[#This Row],[Month]]/3,1))</f>
        <v>Q4</v>
      </c>
      <c r="C36" s="6">
        <f>MONTH(Fuel_prices[[#This Row],[Date]])</f>
        <v>11</v>
      </c>
      <c r="D36" s="6" t="str">
        <f>TEXT(Fuel_prices[[#This Row],[Date]],"mmm")</f>
        <v>Nov</v>
      </c>
      <c r="E36" s="6">
        <f>YEAR(Fuel_prices[[#This Row],[Date]])</f>
        <v>1972</v>
      </c>
      <c r="F36" s="5">
        <v>1.87</v>
      </c>
      <c r="G36" s="2">
        <f ca="1">ROUND(IFERROR((Fuel_prices[[#This Row],[Crude_Oil_Price]]-OFFSET(Fuel_prices[[#This Row],[Crude_Oil_Price]],-1,0)),0),2)</f>
        <v>0</v>
      </c>
      <c r="H36" s="2">
        <f ca="1">ROUND((IFERROR((Fuel_prices[[#This Row],[Crude_Oil_Price]]-OFFSET(Fuel_prices[[#This Row],[Crude_Oil_Price]],-1,0))/(OFFSET(Fuel_prices[[#This Row],[Crude_Oil_Price]],-1,0)),0))*100,2)</f>
        <v>0</v>
      </c>
      <c r="I36" s="2" t="str" cm="1">
        <f t="array" aca="1" ref="I36" ca="1">_xlfn.IFS(
    ABS(Fuel_prices[[#This Row],[%_change]])&gt;50,"SEVERE IMPACT",
    ABS(Fuel_prices[[#This Row],[%_change]])&gt;25,"HIGH IMPACT",
    ABS(Fuel_prices[[#This Row],[%_change]])&gt;5,"MID IMPACT",
    ABS(Fuel_prices[[#This Row],[%_change]])&lt;=5,"LITTLE IMPACT"
)</f>
        <v>LITTLE IMPACT</v>
      </c>
    </row>
    <row r="37" spans="1:9" x14ac:dyDescent="0.25">
      <c r="A37" s="4">
        <v>26634</v>
      </c>
      <c r="B37" s="6" t="str">
        <f>_xlfn.CONCAT("Q",CEILING(Fuel_prices[[#This Row],[Month]]/3,1))</f>
        <v>Q4</v>
      </c>
      <c r="C37" s="6">
        <f>MONTH(Fuel_prices[[#This Row],[Date]])</f>
        <v>12</v>
      </c>
      <c r="D37" s="6" t="str">
        <f>TEXT(Fuel_prices[[#This Row],[Date]],"mmm")</f>
        <v>Dec</v>
      </c>
      <c r="E37" s="6">
        <f>YEAR(Fuel_prices[[#This Row],[Date]])</f>
        <v>1972</v>
      </c>
      <c r="F37" s="5">
        <v>1.87</v>
      </c>
      <c r="G37" s="2">
        <f ca="1">ROUND(IFERROR((Fuel_prices[[#This Row],[Crude_Oil_Price]]-OFFSET(Fuel_prices[[#This Row],[Crude_Oil_Price]],-1,0)),0),2)</f>
        <v>0</v>
      </c>
      <c r="H37" s="2">
        <f ca="1">ROUND((IFERROR((Fuel_prices[[#This Row],[Crude_Oil_Price]]-OFFSET(Fuel_prices[[#This Row],[Crude_Oil_Price]],-1,0))/(OFFSET(Fuel_prices[[#This Row],[Crude_Oil_Price]],-1,0)),0))*100,2)</f>
        <v>0</v>
      </c>
      <c r="I37" s="2" t="str" cm="1">
        <f t="array" aca="1" ref="I37" ca="1">_xlfn.IFS(
    ABS(Fuel_prices[[#This Row],[%_change]])&gt;50,"SEVERE IMPACT",
    ABS(Fuel_prices[[#This Row],[%_change]])&gt;25,"HIGH IMPACT",
    ABS(Fuel_prices[[#This Row],[%_change]])&gt;5,"MID IMPACT",
    ABS(Fuel_prices[[#This Row],[%_change]])&lt;=5,"LITTLE IMPACT"
)</f>
        <v>LITTLE IMPACT</v>
      </c>
    </row>
    <row r="38" spans="1:9" x14ac:dyDescent="0.25">
      <c r="A38" s="4">
        <v>26665</v>
      </c>
      <c r="B38" s="6" t="str">
        <f>_xlfn.CONCAT("Q",CEILING(Fuel_prices[[#This Row],[Month]]/3,1))</f>
        <v>Q1</v>
      </c>
      <c r="C38" s="6">
        <f>MONTH(Fuel_prices[[#This Row],[Date]])</f>
        <v>1</v>
      </c>
      <c r="D38" s="6" t="str">
        <f>TEXT(Fuel_prices[[#This Row],[Date]],"mmm")</f>
        <v>Jan</v>
      </c>
      <c r="E38" s="6">
        <f>YEAR(Fuel_prices[[#This Row],[Date]])</f>
        <v>1973</v>
      </c>
      <c r="F38" s="5">
        <v>2.08</v>
      </c>
      <c r="G38" s="2">
        <f ca="1">ROUND(IFERROR((Fuel_prices[[#This Row],[Crude_Oil_Price]]-OFFSET(Fuel_prices[[#This Row],[Crude_Oil_Price]],-1,0)),0),2)</f>
        <v>0.21</v>
      </c>
      <c r="H38" s="2">
        <f ca="1">ROUND((IFERROR((Fuel_prices[[#This Row],[Crude_Oil_Price]]-OFFSET(Fuel_prices[[#This Row],[Crude_Oil_Price]],-1,0))/(OFFSET(Fuel_prices[[#This Row],[Crude_Oil_Price]],-1,0)),0))*100,2)</f>
        <v>11.23</v>
      </c>
      <c r="I38" s="2" t="str" cm="1">
        <f t="array" aca="1" ref="I38" ca="1">_xlfn.IFS(
    ABS(Fuel_prices[[#This Row],[%_change]])&gt;50,"SEVERE IMPACT",
    ABS(Fuel_prices[[#This Row],[%_change]])&gt;25,"HIGH IMPACT",
    ABS(Fuel_prices[[#This Row],[%_change]])&gt;5,"MID IMPACT",
    ABS(Fuel_prices[[#This Row],[%_change]])&lt;=5,"LITTLE IMPACT"
)</f>
        <v>MID IMPACT</v>
      </c>
    </row>
    <row r="39" spans="1:9" x14ac:dyDescent="0.25">
      <c r="A39" s="4">
        <v>26696</v>
      </c>
      <c r="B39" s="6" t="str">
        <f>_xlfn.CONCAT("Q",CEILING(Fuel_prices[[#This Row],[Month]]/3,1))</f>
        <v>Q1</v>
      </c>
      <c r="C39" s="6">
        <f>MONTH(Fuel_prices[[#This Row],[Date]])</f>
        <v>2</v>
      </c>
      <c r="D39" s="6" t="str">
        <f>TEXT(Fuel_prices[[#This Row],[Date]],"mmm")</f>
        <v>Feb</v>
      </c>
      <c r="E39" s="6">
        <f>YEAR(Fuel_prices[[#This Row],[Date]])</f>
        <v>1973</v>
      </c>
      <c r="F39" s="5">
        <v>2.08</v>
      </c>
      <c r="G39" s="2">
        <f ca="1">ROUND(IFERROR((Fuel_prices[[#This Row],[Crude_Oil_Price]]-OFFSET(Fuel_prices[[#This Row],[Crude_Oil_Price]],-1,0)),0),2)</f>
        <v>0</v>
      </c>
      <c r="H39" s="2">
        <f ca="1">ROUND((IFERROR((Fuel_prices[[#This Row],[Crude_Oil_Price]]-OFFSET(Fuel_prices[[#This Row],[Crude_Oil_Price]],-1,0))/(OFFSET(Fuel_prices[[#This Row],[Crude_Oil_Price]],-1,0)),0))*100,2)</f>
        <v>0</v>
      </c>
      <c r="I39" s="2" t="str" cm="1">
        <f t="array" aca="1" ref="I39" ca="1">_xlfn.IFS(
    ABS(Fuel_prices[[#This Row],[%_change]])&gt;50,"SEVERE IMPACT",
    ABS(Fuel_prices[[#This Row],[%_change]])&gt;25,"HIGH IMPACT",
    ABS(Fuel_prices[[#This Row],[%_change]])&gt;5,"MID IMPACT",
    ABS(Fuel_prices[[#This Row],[%_change]])&lt;=5,"LITTLE IMPACT"
)</f>
        <v>LITTLE IMPACT</v>
      </c>
    </row>
    <row r="40" spans="1:9" x14ac:dyDescent="0.25">
      <c r="A40" s="4">
        <v>26724</v>
      </c>
      <c r="B40" s="6" t="str">
        <f>_xlfn.CONCAT("Q",CEILING(Fuel_prices[[#This Row],[Month]]/3,1))</f>
        <v>Q1</v>
      </c>
      <c r="C40" s="6">
        <f>MONTH(Fuel_prices[[#This Row],[Date]])</f>
        <v>3</v>
      </c>
      <c r="D40" s="6" t="str">
        <f>TEXT(Fuel_prices[[#This Row],[Date]],"mmm")</f>
        <v>Mar</v>
      </c>
      <c r="E40" s="6">
        <f>YEAR(Fuel_prices[[#This Row],[Date]])</f>
        <v>1973</v>
      </c>
      <c r="F40" s="5">
        <v>2.08</v>
      </c>
      <c r="G40" s="2">
        <f ca="1">ROUND(IFERROR((Fuel_prices[[#This Row],[Crude_Oil_Price]]-OFFSET(Fuel_prices[[#This Row],[Crude_Oil_Price]],-1,0)),0),2)</f>
        <v>0</v>
      </c>
      <c r="H40" s="2">
        <f ca="1">ROUND((IFERROR((Fuel_prices[[#This Row],[Crude_Oil_Price]]-OFFSET(Fuel_prices[[#This Row],[Crude_Oil_Price]],-1,0))/(OFFSET(Fuel_prices[[#This Row],[Crude_Oil_Price]],-1,0)),0))*100,2)</f>
        <v>0</v>
      </c>
      <c r="I40" s="2" t="str" cm="1">
        <f t="array" aca="1" ref="I40" ca="1">_xlfn.IFS(
    ABS(Fuel_prices[[#This Row],[%_change]])&gt;50,"SEVERE IMPACT",
    ABS(Fuel_prices[[#This Row],[%_change]])&gt;25,"HIGH IMPACT",
    ABS(Fuel_prices[[#This Row],[%_change]])&gt;5,"MID IMPACT",
    ABS(Fuel_prices[[#This Row],[%_change]])&lt;=5,"LITTLE IMPACT"
)</f>
        <v>LITTLE IMPACT</v>
      </c>
    </row>
    <row r="41" spans="1:9" x14ac:dyDescent="0.25">
      <c r="A41" s="4">
        <v>26755</v>
      </c>
      <c r="B41" s="6" t="str">
        <f>_xlfn.CONCAT("Q",CEILING(Fuel_prices[[#This Row],[Month]]/3,1))</f>
        <v>Q2</v>
      </c>
      <c r="C41" s="6">
        <f>MONTH(Fuel_prices[[#This Row],[Date]])</f>
        <v>4</v>
      </c>
      <c r="D41" s="6" t="str">
        <f>TEXT(Fuel_prices[[#This Row],[Date]],"mmm")</f>
        <v>Apr</v>
      </c>
      <c r="E41" s="6">
        <f>YEAR(Fuel_prices[[#This Row],[Date]])</f>
        <v>1973</v>
      </c>
      <c r="F41" s="5">
        <v>2.35</v>
      </c>
      <c r="G41" s="2">
        <f ca="1">ROUND(IFERROR((Fuel_prices[[#This Row],[Crude_Oil_Price]]-OFFSET(Fuel_prices[[#This Row],[Crude_Oil_Price]],-1,0)),0),2)</f>
        <v>0.27</v>
      </c>
      <c r="H41" s="2">
        <f ca="1">ROUND((IFERROR((Fuel_prices[[#This Row],[Crude_Oil_Price]]-OFFSET(Fuel_prices[[#This Row],[Crude_Oil_Price]],-1,0))/(OFFSET(Fuel_prices[[#This Row],[Crude_Oil_Price]],-1,0)),0))*100,2)</f>
        <v>12.98</v>
      </c>
      <c r="I41" s="2" t="str" cm="1">
        <f t="array" aca="1" ref="I41" ca="1">_xlfn.IFS(
    ABS(Fuel_prices[[#This Row],[%_change]])&gt;50,"SEVERE IMPACT",
    ABS(Fuel_prices[[#This Row],[%_change]])&gt;25,"HIGH IMPACT",
    ABS(Fuel_prices[[#This Row],[%_change]])&gt;5,"MID IMPACT",
    ABS(Fuel_prices[[#This Row],[%_change]])&lt;=5,"LITTLE IMPACT"
)</f>
        <v>MID IMPACT</v>
      </c>
    </row>
    <row r="42" spans="1:9" x14ac:dyDescent="0.25">
      <c r="A42" s="4">
        <v>26785</v>
      </c>
      <c r="B42" s="6" t="str">
        <f>_xlfn.CONCAT("Q",CEILING(Fuel_prices[[#This Row],[Month]]/3,1))</f>
        <v>Q2</v>
      </c>
      <c r="C42" s="6">
        <f>MONTH(Fuel_prices[[#This Row],[Date]])</f>
        <v>5</v>
      </c>
      <c r="D42" s="6" t="str">
        <f>TEXT(Fuel_prices[[#This Row],[Date]],"mmm")</f>
        <v>May</v>
      </c>
      <c r="E42" s="6">
        <f>YEAR(Fuel_prices[[#This Row],[Date]])</f>
        <v>1973</v>
      </c>
      <c r="F42" s="5">
        <v>2.35</v>
      </c>
      <c r="G42" s="2">
        <f ca="1">ROUND(IFERROR((Fuel_prices[[#This Row],[Crude_Oil_Price]]-OFFSET(Fuel_prices[[#This Row],[Crude_Oil_Price]],-1,0)),0),2)</f>
        <v>0</v>
      </c>
      <c r="H42" s="2">
        <f ca="1">ROUND((IFERROR((Fuel_prices[[#This Row],[Crude_Oil_Price]]-OFFSET(Fuel_prices[[#This Row],[Crude_Oil_Price]],-1,0))/(OFFSET(Fuel_prices[[#This Row],[Crude_Oil_Price]],-1,0)),0))*100,2)</f>
        <v>0</v>
      </c>
      <c r="I42" s="2" t="str" cm="1">
        <f t="array" aca="1" ref="I42" ca="1">_xlfn.IFS(
    ABS(Fuel_prices[[#This Row],[%_change]])&gt;50,"SEVERE IMPACT",
    ABS(Fuel_prices[[#This Row],[%_change]])&gt;25,"HIGH IMPACT",
    ABS(Fuel_prices[[#This Row],[%_change]])&gt;5,"MID IMPACT",
    ABS(Fuel_prices[[#This Row],[%_change]])&lt;=5,"LITTLE IMPACT"
)</f>
        <v>LITTLE IMPACT</v>
      </c>
    </row>
    <row r="43" spans="1:9" x14ac:dyDescent="0.25">
      <c r="A43" s="4">
        <v>26816</v>
      </c>
      <c r="B43" s="6" t="str">
        <f>_xlfn.CONCAT("Q",CEILING(Fuel_prices[[#This Row],[Month]]/3,1))</f>
        <v>Q2</v>
      </c>
      <c r="C43" s="6">
        <f>MONTH(Fuel_prices[[#This Row],[Date]])</f>
        <v>6</v>
      </c>
      <c r="D43" s="6" t="str">
        <f>TEXT(Fuel_prices[[#This Row],[Date]],"mmm")</f>
        <v>Jun</v>
      </c>
      <c r="E43" s="6">
        <f>YEAR(Fuel_prices[[#This Row],[Date]])</f>
        <v>1973</v>
      </c>
      <c r="F43" s="5">
        <v>2.35</v>
      </c>
      <c r="G43" s="2">
        <f ca="1">ROUND(IFERROR((Fuel_prices[[#This Row],[Crude_Oil_Price]]-OFFSET(Fuel_prices[[#This Row],[Crude_Oil_Price]],-1,0)),0),2)</f>
        <v>0</v>
      </c>
      <c r="H43" s="2">
        <f ca="1">ROUND((IFERROR((Fuel_prices[[#This Row],[Crude_Oil_Price]]-OFFSET(Fuel_prices[[#This Row],[Crude_Oil_Price]],-1,0))/(OFFSET(Fuel_prices[[#This Row],[Crude_Oil_Price]],-1,0)),0))*100,2)</f>
        <v>0</v>
      </c>
      <c r="I43" s="2" t="str" cm="1">
        <f t="array" aca="1" ref="I43" ca="1">_xlfn.IFS(
    ABS(Fuel_prices[[#This Row],[%_change]])&gt;50,"SEVERE IMPACT",
    ABS(Fuel_prices[[#This Row],[%_change]])&gt;25,"HIGH IMPACT",
    ABS(Fuel_prices[[#This Row],[%_change]])&gt;5,"MID IMPACT",
    ABS(Fuel_prices[[#This Row],[%_change]])&lt;=5,"LITTLE IMPACT"
)</f>
        <v>LITTLE IMPACT</v>
      </c>
    </row>
    <row r="44" spans="1:9" x14ac:dyDescent="0.25">
      <c r="A44" s="4">
        <v>26846</v>
      </c>
      <c r="B44" s="6" t="str">
        <f>_xlfn.CONCAT("Q",CEILING(Fuel_prices[[#This Row],[Month]]/3,1))</f>
        <v>Q3</v>
      </c>
      <c r="C44" s="6">
        <f>MONTH(Fuel_prices[[#This Row],[Date]])</f>
        <v>7</v>
      </c>
      <c r="D44" s="6" t="str">
        <f>TEXT(Fuel_prices[[#This Row],[Date]],"mmm")</f>
        <v>Jul</v>
      </c>
      <c r="E44" s="6">
        <f>YEAR(Fuel_prices[[#This Row],[Date]])</f>
        <v>1973</v>
      </c>
      <c r="F44" s="5">
        <v>2.7</v>
      </c>
      <c r="G44" s="2">
        <f ca="1">ROUND(IFERROR((Fuel_prices[[#This Row],[Crude_Oil_Price]]-OFFSET(Fuel_prices[[#This Row],[Crude_Oil_Price]],-1,0)),0),2)</f>
        <v>0.35</v>
      </c>
      <c r="H44" s="2">
        <f ca="1">ROUND((IFERROR((Fuel_prices[[#This Row],[Crude_Oil_Price]]-OFFSET(Fuel_prices[[#This Row],[Crude_Oil_Price]],-1,0))/(OFFSET(Fuel_prices[[#This Row],[Crude_Oil_Price]],-1,0)),0))*100,2)</f>
        <v>14.89</v>
      </c>
      <c r="I44" s="2" t="str" cm="1">
        <f t="array" aca="1" ref="I44" ca="1">_xlfn.IFS(
    ABS(Fuel_prices[[#This Row],[%_change]])&gt;50,"SEVERE IMPACT",
    ABS(Fuel_prices[[#This Row],[%_change]])&gt;25,"HIGH IMPACT",
    ABS(Fuel_prices[[#This Row],[%_change]])&gt;5,"MID IMPACT",
    ABS(Fuel_prices[[#This Row],[%_change]])&lt;=5,"LITTLE IMPACT"
)</f>
        <v>MID IMPACT</v>
      </c>
    </row>
    <row r="45" spans="1:9" x14ac:dyDescent="0.25">
      <c r="A45" s="4">
        <v>26877</v>
      </c>
      <c r="B45" s="6" t="str">
        <f>_xlfn.CONCAT("Q",CEILING(Fuel_prices[[#This Row],[Month]]/3,1))</f>
        <v>Q3</v>
      </c>
      <c r="C45" s="6">
        <f>MONTH(Fuel_prices[[#This Row],[Date]])</f>
        <v>8</v>
      </c>
      <c r="D45" s="6" t="str">
        <f>TEXT(Fuel_prices[[#This Row],[Date]],"mmm")</f>
        <v>Aug</v>
      </c>
      <c r="E45" s="6">
        <f>YEAR(Fuel_prices[[#This Row],[Date]])</f>
        <v>1973</v>
      </c>
      <c r="F45" s="5">
        <v>2.7</v>
      </c>
      <c r="G45" s="2">
        <f ca="1">ROUND(IFERROR((Fuel_prices[[#This Row],[Crude_Oil_Price]]-OFFSET(Fuel_prices[[#This Row],[Crude_Oil_Price]],-1,0)),0),2)</f>
        <v>0</v>
      </c>
      <c r="H45" s="2">
        <f ca="1">ROUND((IFERROR((Fuel_prices[[#This Row],[Crude_Oil_Price]]-OFFSET(Fuel_prices[[#This Row],[Crude_Oil_Price]],-1,0))/(OFFSET(Fuel_prices[[#This Row],[Crude_Oil_Price]],-1,0)),0))*100,2)</f>
        <v>0</v>
      </c>
      <c r="I45" s="2" t="str" cm="1">
        <f t="array" aca="1" ref="I45" ca="1">_xlfn.IFS(
    ABS(Fuel_prices[[#This Row],[%_change]])&gt;50,"SEVERE IMPACT",
    ABS(Fuel_prices[[#This Row],[%_change]])&gt;25,"HIGH IMPACT",
    ABS(Fuel_prices[[#This Row],[%_change]])&gt;5,"MID IMPACT",
    ABS(Fuel_prices[[#This Row],[%_change]])&lt;=5,"LITTLE IMPACT"
)</f>
        <v>LITTLE IMPACT</v>
      </c>
    </row>
    <row r="46" spans="1:9" x14ac:dyDescent="0.25">
      <c r="A46" s="4">
        <v>26908</v>
      </c>
      <c r="B46" s="6" t="str">
        <f>_xlfn.CONCAT("Q",CEILING(Fuel_prices[[#This Row],[Month]]/3,1))</f>
        <v>Q3</v>
      </c>
      <c r="C46" s="6">
        <f>MONTH(Fuel_prices[[#This Row],[Date]])</f>
        <v>9</v>
      </c>
      <c r="D46" s="6" t="str">
        <f>TEXT(Fuel_prices[[#This Row],[Date]],"mmm")</f>
        <v>Sep</v>
      </c>
      <c r="E46" s="6">
        <f>YEAR(Fuel_prices[[#This Row],[Date]])</f>
        <v>1973</v>
      </c>
      <c r="F46" s="5">
        <v>2.7</v>
      </c>
      <c r="G46" s="2">
        <f ca="1">ROUND(IFERROR((Fuel_prices[[#This Row],[Crude_Oil_Price]]-OFFSET(Fuel_prices[[#This Row],[Crude_Oil_Price]],-1,0)),0),2)</f>
        <v>0</v>
      </c>
      <c r="H46" s="2">
        <f ca="1">ROUND((IFERROR((Fuel_prices[[#This Row],[Crude_Oil_Price]]-OFFSET(Fuel_prices[[#This Row],[Crude_Oil_Price]],-1,0))/(OFFSET(Fuel_prices[[#This Row],[Crude_Oil_Price]],-1,0)),0))*100,2)</f>
        <v>0</v>
      </c>
      <c r="I46" s="2" t="str" cm="1">
        <f t="array" aca="1" ref="I46" ca="1">_xlfn.IFS(
    ABS(Fuel_prices[[#This Row],[%_change]])&gt;50,"SEVERE IMPACT",
    ABS(Fuel_prices[[#This Row],[%_change]])&gt;25,"HIGH IMPACT",
    ABS(Fuel_prices[[#This Row],[%_change]])&gt;5,"MID IMPACT",
    ABS(Fuel_prices[[#This Row],[%_change]])&lt;=5,"LITTLE IMPACT"
)</f>
        <v>LITTLE IMPACT</v>
      </c>
    </row>
    <row r="47" spans="1:9" x14ac:dyDescent="0.25">
      <c r="A47" s="4">
        <v>26938</v>
      </c>
      <c r="B47" s="6" t="str">
        <f>_xlfn.CONCAT("Q",CEILING(Fuel_prices[[#This Row],[Month]]/3,1))</f>
        <v>Q4</v>
      </c>
      <c r="C47" s="6">
        <f>MONTH(Fuel_prices[[#This Row],[Date]])</f>
        <v>10</v>
      </c>
      <c r="D47" s="6" t="str">
        <f>TEXT(Fuel_prices[[#This Row],[Date]],"mmm")</f>
        <v>Oct</v>
      </c>
      <c r="E47" s="6">
        <f>YEAR(Fuel_prices[[#This Row],[Date]])</f>
        <v>1973</v>
      </c>
      <c r="F47" s="5">
        <v>4.0999999999999996</v>
      </c>
      <c r="G47" s="2">
        <f ca="1">ROUND(IFERROR((Fuel_prices[[#This Row],[Crude_Oil_Price]]-OFFSET(Fuel_prices[[#This Row],[Crude_Oil_Price]],-1,0)),0),2)</f>
        <v>1.4</v>
      </c>
      <c r="H47" s="2">
        <f ca="1">ROUND((IFERROR((Fuel_prices[[#This Row],[Crude_Oil_Price]]-OFFSET(Fuel_prices[[#This Row],[Crude_Oil_Price]],-1,0))/(OFFSET(Fuel_prices[[#This Row],[Crude_Oil_Price]],-1,0)),0))*100,2)</f>
        <v>51.85</v>
      </c>
      <c r="I47" s="2" t="str" cm="1">
        <f t="array" aca="1" ref="I47" ca="1">_xlfn.IFS(
    ABS(Fuel_prices[[#This Row],[%_change]])&gt;50,"SEVERE IMPACT",
    ABS(Fuel_prices[[#This Row],[%_change]])&gt;25,"HIGH IMPACT",
    ABS(Fuel_prices[[#This Row],[%_change]])&gt;5,"MID IMPACT",
    ABS(Fuel_prices[[#This Row],[%_change]])&lt;=5,"LITTLE IMPACT"
)</f>
        <v>SEVERE IMPACT</v>
      </c>
    </row>
    <row r="48" spans="1:9" x14ac:dyDescent="0.25">
      <c r="A48" s="4">
        <v>26969</v>
      </c>
      <c r="B48" s="6" t="str">
        <f>_xlfn.CONCAT("Q",CEILING(Fuel_prices[[#This Row],[Month]]/3,1))</f>
        <v>Q4</v>
      </c>
      <c r="C48" s="6">
        <f>MONTH(Fuel_prices[[#This Row],[Date]])</f>
        <v>11</v>
      </c>
      <c r="D48" s="6" t="str">
        <f>TEXT(Fuel_prices[[#This Row],[Date]],"mmm")</f>
        <v>Nov</v>
      </c>
      <c r="E48" s="6">
        <f>YEAR(Fuel_prices[[#This Row],[Date]])</f>
        <v>1973</v>
      </c>
      <c r="F48" s="5">
        <v>4.0999999999999996</v>
      </c>
      <c r="G48" s="2">
        <f ca="1">ROUND(IFERROR((Fuel_prices[[#This Row],[Crude_Oil_Price]]-OFFSET(Fuel_prices[[#This Row],[Crude_Oil_Price]],-1,0)),0),2)</f>
        <v>0</v>
      </c>
      <c r="H48" s="2">
        <f ca="1">ROUND((IFERROR((Fuel_prices[[#This Row],[Crude_Oil_Price]]-OFFSET(Fuel_prices[[#This Row],[Crude_Oil_Price]],-1,0))/(OFFSET(Fuel_prices[[#This Row],[Crude_Oil_Price]],-1,0)),0))*100,2)</f>
        <v>0</v>
      </c>
      <c r="I48" s="2" t="str" cm="1">
        <f t="array" aca="1" ref="I48" ca="1">_xlfn.IFS(
    ABS(Fuel_prices[[#This Row],[%_change]])&gt;50,"SEVERE IMPACT",
    ABS(Fuel_prices[[#This Row],[%_change]])&gt;25,"HIGH IMPACT",
    ABS(Fuel_prices[[#This Row],[%_change]])&gt;5,"MID IMPACT",
    ABS(Fuel_prices[[#This Row],[%_change]])&lt;=5,"LITTLE IMPACT"
)</f>
        <v>LITTLE IMPACT</v>
      </c>
    </row>
    <row r="49" spans="1:9" x14ac:dyDescent="0.25">
      <c r="A49" s="4">
        <v>26999</v>
      </c>
      <c r="B49" s="6" t="str">
        <f>_xlfn.CONCAT("Q",CEILING(Fuel_prices[[#This Row],[Month]]/3,1))</f>
        <v>Q4</v>
      </c>
      <c r="C49" s="6">
        <f>MONTH(Fuel_prices[[#This Row],[Date]])</f>
        <v>12</v>
      </c>
      <c r="D49" s="6" t="str">
        <f>TEXT(Fuel_prices[[#This Row],[Date]],"mmm")</f>
        <v>Dec</v>
      </c>
      <c r="E49" s="6">
        <f>YEAR(Fuel_prices[[#This Row],[Date]])</f>
        <v>1973</v>
      </c>
      <c r="F49" s="5">
        <v>4.0999999999999996</v>
      </c>
      <c r="G49" s="2">
        <f ca="1">ROUND(IFERROR((Fuel_prices[[#This Row],[Crude_Oil_Price]]-OFFSET(Fuel_prices[[#This Row],[Crude_Oil_Price]],-1,0)),0),2)</f>
        <v>0</v>
      </c>
      <c r="H49" s="2">
        <f ca="1">ROUND((IFERROR((Fuel_prices[[#This Row],[Crude_Oil_Price]]-OFFSET(Fuel_prices[[#This Row],[Crude_Oil_Price]],-1,0))/(OFFSET(Fuel_prices[[#This Row],[Crude_Oil_Price]],-1,0)),0))*100,2)</f>
        <v>0</v>
      </c>
      <c r="I49" s="2" t="str" cm="1">
        <f t="array" aca="1" ref="I49" ca="1">_xlfn.IFS(
    ABS(Fuel_prices[[#This Row],[%_change]])&gt;50,"SEVERE IMPACT",
    ABS(Fuel_prices[[#This Row],[%_change]])&gt;25,"HIGH IMPACT",
    ABS(Fuel_prices[[#This Row],[%_change]])&gt;5,"MID IMPACT",
    ABS(Fuel_prices[[#This Row],[%_change]])&lt;=5,"LITTLE IMPACT"
)</f>
        <v>LITTLE IMPACT</v>
      </c>
    </row>
    <row r="50" spans="1:9" x14ac:dyDescent="0.25">
      <c r="A50" s="4">
        <v>27030</v>
      </c>
      <c r="B50" s="6" t="str">
        <f>_xlfn.CONCAT("Q",CEILING(Fuel_prices[[#This Row],[Month]]/3,1))</f>
        <v>Q1</v>
      </c>
      <c r="C50" s="6">
        <f>MONTH(Fuel_prices[[#This Row],[Date]])</f>
        <v>1</v>
      </c>
      <c r="D50" s="6" t="str">
        <f>TEXT(Fuel_prices[[#This Row],[Date]],"mmm")</f>
        <v>Jan</v>
      </c>
      <c r="E50" s="6">
        <f>YEAR(Fuel_prices[[#This Row],[Date]])</f>
        <v>1974</v>
      </c>
      <c r="F50" s="5">
        <v>13</v>
      </c>
      <c r="G50" s="2">
        <f ca="1">ROUND(IFERROR((Fuel_prices[[#This Row],[Crude_Oil_Price]]-OFFSET(Fuel_prices[[#This Row],[Crude_Oil_Price]],-1,0)),0),2)</f>
        <v>8.9</v>
      </c>
      <c r="H50" s="2">
        <f ca="1">ROUND((IFERROR((Fuel_prices[[#This Row],[Crude_Oil_Price]]-OFFSET(Fuel_prices[[#This Row],[Crude_Oil_Price]],-1,0))/(OFFSET(Fuel_prices[[#This Row],[Crude_Oil_Price]],-1,0)),0))*100,2)</f>
        <v>217.07</v>
      </c>
      <c r="I50" s="2" t="str" cm="1">
        <f t="array" aca="1" ref="I50" ca="1">_xlfn.IFS(
    ABS(Fuel_prices[[#This Row],[%_change]])&gt;50,"SEVERE IMPACT",
    ABS(Fuel_prices[[#This Row],[%_change]])&gt;25,"HIGH IMPACT",
    ABS(Fuel_prices[[#This Row],[%_change]])&gt;5,"MID IMPACT",
    ABS(Fuel_prices[[#This Row],[%_change]])&lt;=5,"LITTLE IMPACT"
)</f>
        <v>SEVERE IMPACT</v>
      </c>
    </row>
    <row r="51" spans="1:9" x14ac:dyDescent="0.25">
      <c r="A51" s="4">
        <v>27061</v>
      </c>
      <c r="B51" s="6" t="str">
        <f>_xlfn.CONCAT("Q",CEILING(Fuel_prices[[#This Row],[Month]]/3,1))</f>
        <v>Q1</v>
      </c>
      <c r="C51" s="6">
        <f>MONTH(Fuel_prices[[#This Row],[Date]])</f>
        <v>2</v>
      </c>
      <c r="D51" s="6" t="str">
        <f>TEXT(Fuel_prices[[#This Row],[Date]],"mmm")</f>
        <v>Feb</v>
      </c>
      <c r="E51" s="6">
        <f>YEAR(Fuel_prices[[#This Row],[Date]])</f>
        <v>1974</v>
      </c>
      <c r="F51" s="5">
        <v>13</v>
      </c>
      <c r="G51" s="2">
        <f ca="1">ROUND(IFERROR((Fuel_prices[[#This Row],[Crude_Oil_Price]]-OFFSET(Fuel_prices[[#This Row],[Crude_Oil_Price]],-1,0)),0),2)</f>
        <v>0</v>
      </c>
      <c r="H51" s="2">
        <f ca="1">ROUND((IFERROR((Fuel_prices[[#This Row],[Crude_Oil_Price]]-OFFSET(Fuel_prices[[#This Row],[Crude_Oil_Price]],-1,0))/(OFFSET(Fuel_prices[[#This Row],[Crude_Oil_Price]],-1,0)),0))*100,2)</f>
        <v>0</v>
      </c>
      <c r="I51" s="2" t="str" cm="1">
        <f t="array" aca="1" ref="I51" ca="1">_xlfn.IFS(
    ABS(Fuel_prices[[#This Row],[%_change]])&gt;50,"SEVERE IMPACT",
    ABS(Fuel_prices[[#This Row],[%_change]])&gt;25,"HIGH IMPACT",
    ABS(Fuel_prices[[#This Row],[%_change]])&gt;5,"MID IMPACT",
    ABS(Fuel_prices[[#This Row],[%_change]])&lt;=5,"LITTLE IMPACT"
)</f>
        <v>LITTLE IMPACT</v>
      </c>
    </row>
    <row r="52" spans="1:9" x14ac:dyDescent="0.25">
      <c r="A52" s="4">
        <v>27089</v>
      </c>
      <c r="B52" s="6" t="str">
        <f>_xlfn.CONCAT("Q",CEILING(Fuel_prices[[#This Row],[Month]]/3,1))</f>
        <v>Q1</v>
      </c>
      <c r="C52" s="6">
        <f>MONTH(Fuel_prices[[#This Row],[Date]])</f>
        <v>3</v>
      </c>
      <c r="D52" s="6" t="str">
        <f>TEXT(Fuel_prices[[#This Row],[Date]],"mmm")</f>
        <v>Mar</v>
      </c>
      <c r="E52" s="6">
        <f>YEAR(Fuel_prices[[#This Row],[Date]])</f>
        <v>1974</v>
      </c>
      <c r="F52" s="5">
        <v>13</v>
      </c>
      <c r="G52" s="2">
        <f ca="1">ROUND(IFERROR((Fuel_prices[[#This Row],[Crude_Oil_Price]]-OFFSET(Fuel_prices[[#This Row],[Crude_Oil_Price]],-1,0)),0),2)</f>
        <v>0</v>
      </c>
      <c r="H52" s="2">
        <f ca="1">ROUND((IFERROR((Fuel_prices[[#This Row],[Crude_Oil_Price]]-OFFSET(Fuel_prices[[#This Row],[Crude_Oil_Price]],-1,0))/(OFFSET(Fuel_prices[[#This Row],[Crude_Oil_Price]],-1,0)),0))*100,2)</f>
        <v>0</v>
      </c>
      <c r="I52" s="2" t="str" cm="1">
        <f t="array" aca="1" ref="I52" ca="1">_xlfn.IFS(
    ABS(Fuel_prices[[#This Row],[%_change]])&gt;50,"SEVERE IMPACT",
    ABS(Fuel_prices[[#This Row],[%_change]])&gt;25,"HIGH IMPACT",
    ABS(Fuel_prices[[#This Row],[%_change]])&gt;5,"MID IMPACT",
    ABS(Fuel_prices[[#This Row],[%_change]])&lt;=5,"LITTLE IMPACT"
)</f>
        <v>LITTLE IMPACT</v>
      </c>
    </row>
    <row r="53" spans="1:9" x14ac:dyDescent="0.25">
      <c r="A53" s="4">
        <v>27120</v>
      </c>
      <c r="B53" s="6" t="str">
        <f>_xlfn.CONCAT("Q",CEILING(Fuel_prices[[#This Row],[Month]]/3,1))</f>
        <v>Q2</v>
      </c>
      <c r="C53" s="6">
        <f>MONTH(Fuel_prices[[#This Row],[Date]])</f>
        <v>4</v>
      </c>
      <c r="D53" s="6" t="str">
        <f>TEXT(Fuel_prices[[#This Row],[Date]],"mmm")</f>
        <v>Apr</v>
      </c>
      <c r="E53" s="6">
        <f>YEAR(Fuel_prices[[#This Row],[Date]])</f>
        <v>1974</v>
      </c>
      <c r="F53" s="5">
        <v>10.59999847412</v>
      </c>
      <c r="G53" s="2">
        <f ca="1">ROUND(IFERROR((Fuel_prices[[#This Row],[Crude_Oil_Price]]-OFFSET(Fuel_prices[[#This Row],[Crude_Oil_Price]],-1,0)),0),2)</f>
        <v>-2.4</v>
      </c>
      <c r="H53" s="2">
        <f ca="1">ROUND((IFERROR((Fuel_prices[[#This Row],[Crude_Oil_Price]]-OFFSET(Fuel_prices[[#This Row],[Crude_Oil_Price]],-1,0))/(OFFSET(Fuel_prices[[#This Row],[Crude_Oil_Price]],-1,0)),0))*100,2)</f>
        <v>-18.46</v>
      </c>
      <c r="I53" s="2" t="str" cm="1">
        <f t="array" aca="1" ref="I53" ca="1">_xlfn.IFS(
    ABS(Fuel_prices[[#This Row],[%_change]])&gt;50,"SEVERE IMPACT",
    ABS(Fuel_prices[[#This Row],[%_change]])&gt;25,"HIGH IMPACT",
    ABS(Fuel_prices[[#This Row],[%_change]])&gt;5,"MID IMPACT",
    ABS(Fuel_prices[[#This Row],[%_change]])&lt;=5,"LITTLE IMPACT"
)</f>
        <v>MID IMPACT</v>
      </c>
    </row>
    <row r="54" spans="1:9" x14ac:dyDescent="0.25">
      <c r="A54" s="4">
        <v>27150</v>
      </c>
      <c r="B54" s="6" t="str">
        <f>_xlfn.CONCAT("Q",CEILING(Fuel_prices[[#This Row],[Month]]/3,1))</f>
        <v>Q2</v>
      </c>
      <c r="C54" s="6">
        <f>MONTH(Fuel_prices[[#This Row],[Date]])</f>
        <v>5</v>
      </c>
      <c r="D54" s="6" t="str">
        <f>TEXT(Fuel_prices[[#This Row],[Date]],"mmm")</f>
        <v>May</v>
      </c>
      <c r="E54" s="6">
        <f>YEAR(Fuel_prices[[#This Row],[Date]])</f>
        <v>1974</v>
      </c>
      <c r="F54" s="5">
        <v>10.59999847412</v>
      </c>
      <c r="G54" s="2">
        <f ca="1">ROUND(IFERROR((Fuel_prices[[#This Row],[Crude_Oil_Price]]-OFFSET(Fuel_prices[[#This Row],[Crude_Oil_Price]],-1,0)),0),2)</f>
        <v>0</v>
      </c>
      <c r="H54" s="2">
        <f ca="1">ROUND((IFERROR((Fuel_prices[[#This Row],[Crude_Oil_Price]]-OFFSET(Fuel_prices[[#This Row],[Crude_Oil_Price]],-1,0))/(OFFSET(Fuel_prices[[#This Row],[Crude_Oil_Price]],-1,0)),0))*100,2)</f>
        <v>0</v>
      </c>
      <c r="I54" s="2" t="str" cm="1">
        <f t="array" aca="1" ref="I54" ca="1">_xlfn.IFS(
    ABS(Fuel_prices[[#This Row],[%_change]])&gt;50,"SEVERE IMPACT",
    ABS(Fuel_prices[[#This Row],[%_change]])&gt;25,"HIGH IMPACT",
    ABS(Fuel_prices[[#This Row],[%_change]])&gt;5,"MID IMPACT",
    ABS(Fuel_prices[[#This Row],[%_change]])&lt;=5,"LITTLE IMPACT"
)</f>
        <v>LITTLE IMPACT</v>
      </c>
    </row>
    <row r="55" spans="1:9" x14ac:dyDescent="0.25">
      <c r="A55" s="4">
        <v>27181</v>
      </c>
      <c r="B55" s="6" t="str">
        <f>_xlfn.CONCAT("Q",CEILING(Fuel_prices[[#This Row],[Month]]/3,1))</f>
        <v>Q2</v>
      </c>
      <c r="C55" s="6">
        <f>MONTH(Fuel_prices[[#This Row],[Date]])</f>
        <v>6</v>
      </c>
      <c r="D55" s="6" t="str">
        <f>TEXT(Fuel_prices[[#This Row],[Date]],"mmm")</f>
        <v>Jun</v>
      </c>
      <c r="E55" s="6">
        <f>YEAR(Fuel_prices[[#This Row],[Date]])</f>
        <v>1974</v>
      </c>
      <c r="F55" s="5">
        <v>10.59999847412</v>
      </c>
      <c r="G55" s="2">
        <f ca="1">ROUND(IFERROR((Fuel_prices[[#This Row],[Crude_Oil_Price]]-OFFSET(Fuel_prices[[#This Row],[Crude_Oil_Price]],-1,0)),0),2)</f>
        <v>0</v>
      </c>
      <c r="H55" s="2">
        <f ca="1">ROUND((IFERROR((Fuel_prices[[#This Row],[Crude_Oil_Price]]-OFFSET(Fuel_prices[[#This Row],[Crude_Oil_Price]],-1,0))/(OFFSET(Fuel_prices[[#This Row],[Crude_Oil_Price]],-1,0)),0))*100,2)</f>
        <v>0</v>
      </c>
      <c r="I55" s="2" t="str" cm="1">
        <f t="array" aca="1" ref="I55" ca="1">_xlfn.IFS(
    ABS(Fuel_prices[[#This Row],[%_change]])&gt;50,"SEVERE IMPACT",
    ABS(Fuel_prices[[#This Row],[%_change]])&gt;25,"HIGH IMPACT",
    ABS(Fuel_prices[[#This Row],[%_change]])&gt;5,"MID IMPACT",
    ABS(Fuel_prices[[#This Row],[%_change]])&lt;=5,"LITTLE IMPACT"
)</f>
        <v>LITTLE IMPACT</v>
      </c>
    </row>
    <row r="56" spans="1:9" x14ac:dyDescent="0.25">
      <c r="A56" s="4">
        <v>27211</v>
      </c>
      <c r="B56" s="6" t="str">
        <f>_xlfn.CONCAT("Q",CEILING(Fuel_prices[[#This Row],[Month]]/3,1))</f>
        <v>Q3</v>
      </c>
      <c r="C56" s="6">
        <f>MONTH(Fuel_prices[[#This Row],[Date]])</f>
        <v>7</v>
      </c>
      <c r="D56" s="6" t="str">
        <f>TEXT(Fuel_prices[[#This Row],[Date]],"mmm")</f>
        <v>Jul</v>
      </c>
      <c r="E56" s="6">
        <f>YEAR(Fuel_prices[[#This Row],[Date]])</f>
        <v>1974</v>
      </c>
      <c r="F56" s="5">
        <v>10</v>
      </c>
      <c r="G56" s="2">
        <f ca="1">ROUND(IFERROR((Fuel_prices[[#This Row],[Crude_Oil_Price]]-OFFSET(Fuel_prices[[#This Row],[Crude_Oil_Price]],-1,0)),0),2)</f>
        <v>-0.6</v>
      </c>
      <c r="H56" s="2">
        <f ca="1">ROUND((IFERROR((Fuel_prices[[#This Row],[Crude_Oil_Price]]-OFFSET(Fuel_prices[[#This Row],[Crude_Oil_Price]],-1,0))/(OFFSET(Fuel_prices[[#This Row],[Crude_Oil_Price]],-1,0)),0))*100,2)</f>
        <v>-5.66</v>
      </c>
      <c r="I56" s="2" t="str" cm="1">
        <f t="array" aca="1" ref="I56" ca="1">_xlfn.IFS(
    ABS(Fuel_prices[[#This Row],[%_change]])&gt;50,"SEVERE IMPACT",
    ABS(Fuel_prices[[#This Row],[%_change]])&gt;25,"HIGH IMPACT",
    ABS(Fuel_prices[[#This Row],[%_change]])&gt;5,"MID IMPACT",
    ABS(Fuel_prices[[#This Row],[%_change]])&lt;=5,"LITTLE IMPACT"
)</f>
        <v>MID IMPACT</v>
      </c>
    </row>
    <row r="57" spans="1:9" x14ac:dyDescent="0.25">
      <c r="A57" s="4">
        <v>27242</v>
      </c>
      <c r="B57" s="6" t="str">
        <f>_xlfn.CONCAT("Q",CEILING(Fuel_prices[[#This Row],[Month]]/3,1))</f>
        <v>Q3</v>
      </c>
      <c r="C57" s="6">
        <f>MONTH(Fuel_prices[[#This Row],[Date]])</f>
        <v>8</v>
      </c>
      <c r="D57" s="6" t="str">
        <f>TEXT(Fuel_prices[[#This Row],[Date]],"mmm")</f>
        <v>Aug</v>
      </c>
      <c r="E57" s="6">
        <f>YEAR(Fuel_prices[[#This Row],[Date]])</f>
        <v>1974</v>
      </c>
      <c r="F57" s="5">
        <v>10</v>
      </c>
      <c r="G57" s="2">
        <f ca="1">ROUND(IFERROR((Fuel_prices[[#This Row],[Crude_Oil_Price]]-OFFSET(Fuel_prices[[#This Row],[Crude_Oil_Price]],-1,0)),0),2)</f>
        <v>0</v>
      </c>
      <c r="H57" s="2">
        <f ca="1">ROUND((IFERROR((Fuel_prices[[#This Row],[Crude_Oil_Price]]-OFFSET(Fuel_prices[[#This Row],[Crude_Oil_Price]],-1,0))/(OFFSET(Fuel_prices[[#This Row],[Crude_Oil_Price]],-1,0)),0))*100,2)</f>
        <v>0</v>
      </c>
      <c r="I57" s="2" t="str" cm="1">
        <f t="array" aca="1" ref="I57" ca="1">_xlfn.IFS(
    ABS(Fuel_prices[[#This Row],[%_change]])&gt;50,"SEVERE IMPACT",
    ABS(Fuel_prices[[#This Row],[%_change]])&gt;25,"HIGH IMPACT",
    ABS(Fuel_prices[[#This Row],[%_change]])&gt;5,"MID IMPACT",
    ABS(Fuel_prices[[#This Row],[%_change]])&lt;=5,"LITTLE IMPACT"
)</f>
        <v>LITTLE IMPACT</v>
      </c>
    </row>
    <row r="58" spans="1:9" x14ac:dyDescent="0.25">
      <c r="A58" s="4">
        <v>27273</v>
      </c>
      <c r="B58" s="6" t="str">
        <f>_xlfn.CONCAT("Q",CEILING(Fuel_prices[[#This Row],[Month]]/3,1))</f>
        <v>Q3</v>
      </c>
      <c r="C58" s="6">
        <f>MONTH(Fuel_prices[[#This Row],[Date]])</f>
        <v>9</v>
      </c>
      <c r="D58" s="6" t="str">
        <f>TEXT(Fuel_prices[[#This Row],[Date]],"mmm")</f>
        <v>Sep</v>
      </c>
      <c r="E58" s="6">
        <f>YEAR(Fuel_prices[[#This Row],[Date]])</f>
        <v>1974</v>
      </c>
      <c r="F58" s="5">
        <v>10</v>
      </c>
      <c r="G58" s="2">
        <f ca="1">ROUND(IFERROR((Fuel_prices[[#This Row],[Crude_Oil_Price]]-OFFSET(Fuel_prices[[#This Row],[Crude_Oil_Price]],-1,0)),0),2)</f>
        <v>0</v>
      </c>
      <c r="H58" s="2">
        <f ca="1">ROUND((IFERROR((Fuel_prices[[#This Row],[Crude_Oil_Price]]-OFFSET(Fuel_prices[[#This Row],[Crude_Oil_Price]],-1,0))/(OFFSET(Fuel_prices[[#This Row],[Crude_Oil_Price]],-1,0)),0))*100,2)</f>
        <v>0</v>
      </c>
      <c r="I58" s="2" t="str" cm="1">
        <f t="array" aca="1" ref="I58" ca="1">_xlfn.IFS(
    ABS(Fuel_prices[[#This Row],[%_change]])&gt;50,"SEVERE IMPACT",
    ABS(Fuel_prices[[#This Row],[%_change]])&gt;25,"HIGH IMPACT",
    ABS(Fuel_prices[[#This Row],[%_change]])&gt;5,"MID IMPACT",
    ABS(Fuel_prices[[#This Row],[%_change]])&lt;=5,"LITTLE IMPACT"
)</f>
        <v>LITTLE IMPACT</v>
      </c>
    </row>
    <row r="59" spans="1:9" x14ac:dyDescent="0.25">
      <c r="A59" s="4">
        <v>27303</v>
      </c>
      <c r="B59" s="6" t="str">
        <f>_xlfn.CONCAT("Q",CEILING(Fuel_prices[[#This Row],[Month]]/3,1))</f>
        <v>Q4</v>
      </c>
      <c r="C59" s="6">
        <f>MONTH(Fuel_prices[[#This Row],[Date]])</f>
        <v>10</v>
      </c>
      <c r="D59" s="6" t="str">
        <f>TEXT(Fuel_prices[[#This Row],[Date]],"mmm")</f>
        <v>Oct</v>
      </c>
      <c r="E59" s="6">
        <f>YEAR(Fuel_prices[[#This Row],[Date]])</f>
        <v>1974</v>
      </c>
      <c r="F59" s="5">
        <v>10.29999923706</v>
      </c>
      <c r="G59" s="2">
        <f ca="1">ROUND(IFERROR((Fuel_prices[[#This Row],[Crude_Oil_Price]]-OFFSET(Fuel_prices[[#This Row],[Crude_Oil_Price]],-1,0)),0),2)</f>
        <v>0.3</v>
      </c>
      <c r="H59" s="2">
        <f ca="1">ROUND((IFERROR((Fuel_prices[[#This Row],[Crude_Oil_Price]]-OFFSET(Fuel_prices[[#This Row],[Crude_Oil_Price]],-1,0))/(OFFSET(Fuel_prices[[#This Row],[Crude_Oil_Price]],-1,0)),0))*100,2)</f>
        <v>3</v>
      </c>
      <c r="I59" s="2" t="str" cm="1">
        <f t="array" aca="1" ref="I59" ca="1">_xlfn.IFS(
    ABS(Fuel_prices[[#This Row],[%_change]])&gt;50,"SEVERE IMPACT",
    ABS(Fuel_prices[[#This Row],[%_change]])&gt;25,"HIGH IMPACT",
    ABS(Fuel_prices[[#This Row],[%_change]])&gt;5,"MID IMPACT",
    ABS(Fuel_prices[[#This Row],[%_change]])&lt;=5,"LITTLE IMPACT"
)</f>
        <v>LITTLE IMPACT</v>
      </c>
    </row>
    <row r="60" spans="1:9" x14ac:dyDescent="0.25">
      <c r="A60" s="4">
        <v>27334</v>
      </c>
      <c r="B60" s="6" t="str">
        <f>_xlfn.CONCAT("Q",CEILING(Fuel_prices[[#This Row],[Month]]/3,1))</f>
        <v>Q4</v>
      </c>
      <c r="C60" s="6">
        <f>MONTH(Fuel_prices[[#This Row],[Date]])</f>
        <v>11</v>
      </c>
      <c r="D60" s="6" t="str">
        <f>TEXT(Fuel_prices[[#This Row],[Date]],"mmm")</f>
        <v>Nov</v>
      </c>
      <c r="E60" s="6">
        <f>YEAR(Fuel_prices[[#This Row],[Date]])</f>
        <v>1974</v>
      </c>
      <c r="F60" s="5">
        <v>10.29999923706</v>
      </c>
      <c r="G60" s="2">
        <f ca="1">ROUND(IFERROR((Fuel_prices[[#This Row],[Crude_Oil_Price]]-OFFSET(Fuel_prices[[#This Row],[Crude_Oil_Price]],-1,0)),0),2)</f>
        <v>0</v>
      </c>
      <c r="H60" s="2">
        <f ca="1">ROUND((IFERROR((Fuel_prices[[#This Row],[Crude_Oil_Price]]-OFFSET(Fuel_prices[[#This Row],[Crude_Oil_Price]],-1,0))/(OFFSET(Fuel_prices[[#This Row],[Crude_Oil_Price]],-1,0)),0))*100,2)</f>
        <v>0</v>
      </c>
      <c r="I60" s="2" t="str" cm="1">
        <f t="array" aca="1" ref="I60" ca="1">_xlfn.IFS(
    ABS(Fuel_prices[[#This Row],[%_change]])&gt;50,"SEVERE IMPACT",
    ABS(Fuel_prices[[#This Row],[%_change]])&gt;25,"HIGH IMPACT",
    ABS(Fuel_prices[[#This Row],[%_change]])&gt;5,"MID IMPACT",
    ABS(Fuel_prices[[#This Row],[%_change]])&lt;=5,"LITTLE IMPACT"
)</f>
        <v>LITTLE IMPACT</v>
      </c>
    </row>
    <row r="61" spans="1:9" x14ac:dyDescent="0.25">
      <c r="A61" s="4">
        <v>27364</v>
      </c>
      <c r="B61" s="6" t="str">
        <f>_xlfn.CONCAT("Q",CEILING(Fuel_prices[[#This Row],[Month]]/3,1))</f>
        <v>Q4</v>
      </c>
      <c r="C61" s="6">
        <f>MONTH(Fuel_prices[[#This Row],[Date]])</f>
        <v>12</v>
      </c>
      <c r="D61" s="6" t="str">
        <f>TEXT(Fuel_prices[[#This Row],[Date]],"mmm")</f>
        <v>Dec</v>
      </c>
      <c r="E61" s="6">
        <f>YEAR(Fuel_prices[[#This Row],[Date]])</f>
        <v>1974</v>
      </c>
      <c r="F61" s="5">
        <v>10.29999923706</v>
      </c>
      <c r="G61" s="2">
        <f ca="1">ROUND(IFERROR((Fuel_prices[[#This Row],[Crude_Oil_Price]]-OFFSET(Fuel_prices[[#This Row],[Crude_Oil_Price]],-1,0)),0),2)</f>
        <v>0</v>
      </c>
      <c r="H61" s="2">
        <f ca="1">ROUND((IFERROR((Fuel_prices[[#This Row],[Crude_Oil_Price]]-OFFSET(Fuel_prices[[#This Row],[Crude_Oil_Price]],-1,0))/(OFFSET(Fuel_prices[[#This Row],[Crude_Oil_Price]],-1,0)),0))*100,2)</f>
        <v>0</v>
      </c>
      <c r="I61" s="2" t="str" cm="1">
        <f t="array" aca="1" ref="I61" ca="1">_xlfn.IFS(
    ABS(Fuel_prices[[#This Row],[%_change]])&gt;50,"SEVERE IMPACT",
    ABS(Fuel_prices[[#This Row],[%_change]])&gt;25,"HIGH IMPACT",
    ABS(Fuel_prices[[#This Row],[%_change]])&gt;5,"MID IMPACT",
    ABS(Fuel_prices[[#This Row],[%_change]])&lt;=5,"LITTLE IMPACT"
)</f>
        <v>LITTLE IMPACT</v>
      </c>
    </row>
    <row r="62" spans="1:9" x14ac:dyDescent="0.25">
      <c r="A62" s="4">
        <v>27395</v>
      </c>
      <c r="B62" s="6" t="str">
        <f>_xlfn.CONCAT("Q",CEILING(Fuel_prices[[#This Row],[Month]]/3,1))</f>
        <v>Q1</v>
      </c>
      <c r="C62" s="6">
        <f>MONTH(Fuel_prices[[#This Row],[Date]])</f>
        <v>1</v>
      </c>
      <c r="D62" s="6" t="str">
        <f>TEXT(Fuel_prices[[#This Row],[Date]],"mmm")</f>
        <v>Jan</v>
      </c>
      <c r="E62" s="6">
        <f>YEAR(Fuel_prices[[#This Row],[Date]])</f>
        <v>1975</v>
      </c>
      <c r="F62" s="5">
        <v>10.42000007629</v>
      </c>
      <c r="G62" s="2">
        <f ca="1">ROUND(IFERROR((Fuel_prices[[#This Row],[Crude_Oil_Price]]-OFFSET(Fuel_prices[[#This Row],[Crude_Oil_Price]],-1,0)),0),2)</f>
        <v>0.12</v>
      </c>
      <c r="H62" s="2">
        <f ca="1">ROUND((IFERROR((Fuel_prices[[#This Row],[Crude_Oil_Price]]-OFFSET(Fuel_prices[[#This Row],[Crude_Oil_Price]],-1,0))/(OFFSET(Fuel_prices[[#This Row],[Crude_Oil_Price]],-1,0)),0))*100,2)</f>
        <v>1.17</v>
      </c>
      <c r="I62" s="2" t="str" cm="1">
        <f t="array" aca="1" ref="I62" ca="1">_xlfn.IFS(
    ABS(Fuel_prices[[#This Row],[%_change]])&gt;50,"SEVERE IMPACT",
    ABS(Fuel_prices[[#This Row],[%_change]])&gt;25,"HIGH IMPACT",
    ABS(Fuel_prices[[#This Row],[%_change]])&gt;5,"MID IMPACT",
    ABS(Fuel_prices[[#This Row],[%_change]])&lt;=5,"LITTLE IMPACT"
)</f>
        <v>LITTLE IMPACT</v>
      </c>
    </row>
    <row r="63" spans="1:9" x14ac:dyDescent="0.25">
      <c r="A63" s="4">
        <v>27426</v>
      </c>
      <c r="B63" s="6" t="str">
        <f>_xlfn.CONCAT("Q",CEILING(Fuel_prices[[#This Row],[Month]]/3,1))</f>
        <v>Q1</v>
      </c>
      <c r="C63" s="6">
        <f>MONTH(Fuel_prices[[#This Row],[Date]])</f>
        <v>2</v>
      </c>
      <c r="D63" s="6" t="str">
        <f>TEXT(Fuel_prices[[#This Row],[Date]],"mmm")</f>
        <v>Feb</v>
      </c>
      <c r="E63" s="6">
        <f>YEAR(Fuel_prices[[#This Row],[Date]])</f>
        <v>1975</v>
      </c>
      <c r="F63" s="5">
        <v>10.42000007629</v>
      </c>
      <c r="G63" s="2">
        <f ca="1">ROUND(IFERROR((Fuel_prices[[#This Row],[Crude_Oil_Price]]-OFFSET(Fuel_prices[[#This Row],[Crude_Oil_Price]],-1,0)),0),2)</f>
        <v>0</v>
      </c>
      <c r="H63" s="2">
        <f ca="1">ROUND((IFERROR((Fuel_prices[[#This Row],[Crude_Oil_Price]]-OFFSET(Fuel_prices[[#This Row],[Crude_Oil_Price]],-1,0))/(OFFSET(Fuel_prices[[#This Row],[Crude_Oil_Price]],-1,0)),0))*100,2)</f>
        <v>0</v>
      </c>
      <c r="I63" s="2" t="str" cm="1">
        <f t="array" aca="1" ref="I63" ca="1">_xlfn.IFS(
    ABS(Fuel_prices[[#This Row],[%_change]])&gt;50,"SEVERE IMPACT",
    ABS(Fuel_prices[[#This Row],[%_change]])&gt;25,"HIGH IMPACT",
    ABS(Fuel_prices[[#This Row],[%_change]])&gt;5,"MID IMPACT",
    ABS(Fuel_prices[[#This Row],[%_change]])&lt;=5,"LITTLE IMPACT"
)</f>
        <v>LITTLE IMPACT</v>
      </c>
    </row>
    <row r="64" spans="1:9" x14ac:dyDescent="0.25">
      <c r="A64" s="4">
        <v>27454</v>
      </c>
      <c r="B64" s="6" t="str">
        <f>_xlfn.CONCAT("Q",CEILING(Fuel_prices[[#This Row],[Month]]/3,1))</f>
        <v>Q1</v>
      </c>
      <c r="C64" s="6">
        <f>MONTH(Fuel_prices[[#This Row],[Date]])</f>
        <v>3</v>
      </c>
      <c r="D64" s="6" t="str">
        <f>TEXT(Fuel_prices[[#This Row],[Date]],"mmm")</f>
        <v>Mar</v>
      </c>
      <c r="E64" s="6">
        <f>YEAR(Fuel_prices[[#This Row],[Date]])</f>
        <v>1975</v>
      </c>
      <c r="F64" s="5">
        <v>10.42000007629</v>
      </c>
      <c r="G64" s="2">
        <f ca="1">ROUND(IFERROR((Fuel_prices[[#This Row],[Crude_Oil_Price]]-OFFSET(Fuel_prices[[#This Row],[Crude_Oil_Price]],-1,0)),0),2)</f>
        <v>0</v>
      </c>
      <c r="H64" s="2">
        <f ca="1">ROUND((IFERROR((Fuel_prices[[#This Row],[Crude_Oil_Price]]-OFFSET(Fuel_prices[[#This Row],[Crude_Oil_Price]],-1,0))/(OFFSET(Fuel_prices[[#This Row],[Crude_Oil_Price]],-1,0)),0))*100,2)</f>
        <v>0</v>
      </c>
      <c r="I64" s="2" t="str" cm="1">
        <f t="array" aca="1" ref="I64" ca="1">_xlfn.IFS(
    ABS(Fuel_prices[[#This Row],[%_change]])&gt;50,"SEVERE IMPACT",
    ABS(Fuel_prices[[#This Row],[%_change]])&gt;25,"HIGH IMPACT",
    ABS(Fuel_prices[[#This Row],[%_change]])&gt;5,"MID IMPACT",
    ABS(Fuel_prices[[#This Row],[%_change]])&lt;=5,"LITTLE IMPACT"
)</f>
        <v>LITTLE IMPACT</v>
      </c>
    </row>
    <row r="65" spans="1:9" x14ac:dyDescent="0.25">
      <c r="A65" s="4">
        <v>27485</v>
      </c>
      <c r="B65" s="6" t="str">
        <f>_xlfn.CONCAT("Q",CEILING(Fuel_prices[[#This Row],[Month]]/3,1))</f>
        <v>Q2</v>
      </c>
      <c r="C65" s="6">
        <f>MONTH(Fuel_prices[[#This Row],[Date]])</f>
        <v>4</v>
      </c>
      <c r="D65" s="6" t="str">
        <f>TEXT(Fuel_prices[[#This Row],[Date]],"mmm")</f>
        <v>Apr</v>
      </c>
      <c r="E65" s="6">
        <f>YEAR(Fuel_prices[[#This Row],[Date]])</f>
        <v>1975</v>
      </c>
      <c r="F65" s="5">
        <v>10.42000007629</v>
      </c>
      <c r="G65" s="2">
        <f ca="1">ROUND(IFERROR((Fuel_prices[[#This Row],[Crude_Oil_Price]]-OFFSET(Fuel_prices[[#This Row],[Crude_Oil_Price]],-1,0)),0),2)</f>
        <v>0</v>
      </c>
      <c r="H65" s="2">
        <f ca="1">ROUND((IFERROR((Fuel_prices[[#This Row],[Crude_Oil_Price]]-OFFSET(Fuel_prices[[#This Row],[Crude_Oil_Price]],-1,0))/(OFFSET(Fuel_prices[[#This Row],[Crude_Oil_Price]],-1,0)),0))*100,2)</f>
        <v>0</v>
      </c>
      <c r="I65" s="2" t="str" cm="1">
        <f t="array" aca="1" ref="I65" ca="1">_xlfn.IFS(
    ABS(Fuel_prices[[#This Row],[%_change]])&gt;50,"SEVERE IMPACT",
    ABS(Fuel_prices[[#This Row],[%_change]])&gt;25,"HIGH IMPACT",
    ABS(Fuel_prices[[#This Row],[%_change]])&gt;5,"MID IMPACT",
    ABS(Fuel_prices[[#This Row],[%_change]])&lt;=5,"LITTLE IMPACT"
)</f>
        <v>LITTLE IMPACT</v>
      </c>
    </row>
    <row r="66" spans="1:9" x14ac:dyDescent="0.25">
      <c r="A66" s="4">
        <v>27515</v>
      </c>
      <c r="B66" s="6" t="str">
        <f>_xlfn.CONCAT("Q",CEILING(Fuel_prices[[#This Row],[Month]]/3,1))</f>
        <v>Q2</v>
      </c>
      <c r="C66" s="6">
        <f>MONTH(Fuel_prices[[#This Row],[Date]])</f>
        <v>5</v>
      </c>
      <c r="D66" s="6" t="str">
        <f>TEXT(Fuel_prices[[#This Row],[Date]],"mmm")</f>
        <v>May</v>
      </c>
      <c r="E66" s="6">
        <f>YEAR(Fuel_prices[[#This Row],[Date]])</f>
        <v>1975</v>
      </c>
      <c r="F66" s="5">
        <v>10.42000007629</v>
      </c>
      <c r="G66" s="2">
        <f ca="1">ROUND(IFERROR((Fuel_prices[[#This Row],[Crude_Oil_Price]]-OFFSET(Fuel_prices[[#This Row],[Crude_Oil_Price]],-1,0)),0),2)</f>
        <v>0</v>
      </c>
      <c r="H66" s="2">
        <f ca="1">ROUND((IFERROR((Fuel_prices[[#This Row],[Crude_Oil_Price]]-OFFSET(Fuel_prices[[#This Row],[Crude_Oil_Price]],-1,0))/(OFFSET(Fuel_prices[[#This Row],[Crude_Oil_Price]],-1,0)),0))*100,2)</f>
        <v>0</v>
      </c>
      <c r="I66" s="2" t="str" cm="1">
        <f t="array" aca="1" ref="I66" ca="1">_xlfn.IFS(
    ABS(Fuel_prices[[#This Row],[%_change]])&gt;50,"SEVERE IMPACT",
    ABS(Fuel_prices[[#This Row],[%_change]])&gt;25,"HIGH IMPACT",
    ABS(Fuel_prices[[#This Row],[%_change]])&gt;5,"MID IMPACT",
    ABS(Fuel_prices[[#This Row],[%_change]])&lt;=5,"LITTLE IMPACT"
)</f>
        <v>LITTLE IMPACT</v>
      </c>
    </row>
    <row r="67" spans="1:9" x14ac:dyDescent="0.25">
      <c r="A67" s="4">
        <v>27546</v>
      </c>
      <c r="B67" s="6" t="str">
        <f>_xlfn.CONCAT("Q",CEILING(Fuel_prices[[#This Row],[Month]]/3,1))</f>
        <v>Q2</v>
      </c>
      <c r="C67" s="6">
        <f>MONTH(Fuel_prices[[#This Row],[Date]])</f>
        <v>6</v>
      </c>
      <c r="D67" s="6" t="str">
        <f>TEXT(Fuel_prices[[#This Row],[Date]],"mmm")</f>
        <v>Jun</v>
      </c>
      <c r="E67" s="6">
        <f>YEAR(Fuel_prices[[#This Row],[Date]])</f>
        <v>1975</v>
      </c>
      <c r="F67" s="5">
        <v>10.42000007629</v>
      </c>
      <c r="G67" s="2">
        <f ca="1">ROUND(IFERROR((Fuel_prices[[#This Row],[Crude_Oil_Price]]-OFFSET(Fuel_prices[[#This Row],[Crude_Oil_Price]],-1,0)),0),2)</f>
        <v>0</v>
      </c>
      <c r="H67" s="2">
        <f ca="1">ROUND((IFERROR((Fuel_prices[[#This Row],[Crude_Oil_Price]]-OFFSET(Fuel_prices[[#This Row],[Crude_Oil_Price]],-1,0))/(OFFSET(Fuel_prices[[#This Row],[Crude_Oil_Price]],-1,0)),0))*100,2)</f>
        <v>0</v>
      </c>
      <c r="I67" s="2" t="str" cm="1">
        <f t="array" aca="1" ref="I67" ca="1">_xlfn.IFS(
    ABS(Fuel_prices[[#This Row],[%_change]])&gt;50,"SEVERE IMPACT",
    ABS(Fuel_prices[[#This Row],[%_change]])&gt;25,"HIGH IMPACT",
    ABS(Fuel_prices[[#This Row],[%_change]])&gt;5,"MID IMPACT",
    ABS(Fuel_prices[[#This Row],[%_change]])&lt;=5,"LITTLE IMPACT"
)</f>
        <v>LITTLE IMPACT</v>
      </c>
    </row>
    <row r="68" spans="1:9" x14ac:dyDescent="0.25">
      <c r="A68" s="4">
        <v>27576</v>
      </c>
      <c r="B68" s="6" t="str">
        <f>_xlfn.CONCAT("Q",CEILING(Fuel_prices[[#This Row],[Month]]/3,1))</f>
        <v>Q3</v>
      </c>
      <c r="C68" s="6">
        <f>MONTH(Fuel_prices[[#This Row],[Date]])</f>
        <v>7</v>
      </c>
      <c r="D68" s="6" t="str">
        <f>TEXT(Fuel_prices[[#This Row],[Date]],"mmm")</f>
        <v>Jul</v>
      </c>
      <c r="E68" s="6">
        <f>YEAR(Fuel_prices[[#This Row],[Date]])</f>
        <v>1975</v>
      </c>
      <c r="F68" s="5">
        <v>10.43000030518</v>
      </c>
      <c r="G68" s="2">
        <f ca="1">ROUND(IFERROR((Fuel_prices[[#This Row],[Crude_Oil_Price]]-OFFSET(Fuel_prices[[#This Row],[Crude_Oil_Price]],-1,0)),0),2)</f>
        <v>0.01</v>
      </c>
      <c r="H68" s="2">
        <f ca="1">ROUND((IFERROR((Fuel_prices[[#This Row],[Crude_Oil_Price]]-OFFSET(Fuel_prices[[#This Row],[Crude_Oil_Price]],-1,0))/(OFFSET(Fuel_prices[[#This Row],[Crude_Oil_Price]],-1,0)),0))*100,2)</f>
        <v>0.1</v>
      </c>
      <c r="I68" s="2" t="str" cm="1">
        <f t="array" aca="1" ref="I68" ca="1">_xlfn.IFS(
    ABS(Fuel_prices[[#This Row],[%_change]])&gt;50,"SEVERE IMPACT",
    ABS(Fuel_prices[[#This Row],[%_change]])&gt;25,"HIGH IMPACT",
    ABS(Fuel_prices[[#This Row],[%_change]])&gt;5,"MID IMPACT",
    ABS(Fuel_prices[[#This Row],[%_change]])&lt;=5,"LITTLE IMPACT"
)</f>
        <v>LITTLE IMPACT</v>
      </c>
    </row>
    <row r="69" spans="1:9" x14ac:dyDescent="0.25">
      <c r="A69" s="4">
        <v>27607</v>
      </c>
      <c r="B69" s="6" t="str">
        <f>_xlfn.CONCAT("Q",CEILING(Fuel_prices[[#This Row],[Month]]/3,1))</f>
        <v>Q3</v>
      </c>
      <c r="C69" s="6">
        <f>MONTH(Fuel_prices[[#This Row],[Date]])</f>
        <v>8</v>
      </c>
      <c r="D69" s="6" t="str">
        <f>TEXT(Fuel_prices[[#This Row],[Date]],"mmm")</f>
        <v>Aug</v>
      </c>
      <c r="E69" s="6">
        <f>YEAR(Fuel_prices[[#This Row],[Date]])</f>
        <v>1975</v>
      </c>
      <c r="F69" s="5">
        <v>10.43000030518</v>
      </c>
      <c r="G69" s="2">
        <f ca="1">ROUND(IFERROR((Fuel_prices[[#This Row],[Crude_Oil_Price]]-OFFSET(Fuel_prices[[#This Row],[Crude_Oil_Price]],-1,0)),0),2)</f>
        <v>0</v>
      </c>
      <c r="H69" s="2">
        <f ca="1">ROUND((IFERROR((Fuel_prices[[#This Row],[Crude_Oil_Price]]-OFFSET(Fuel_prices[[#This Row],[Crude_Oil_Price]],-1,0))/(OFFSET(Fuel_prices[[#This Row],[Crude_Oil_Price]],-1,0)),0))*100,2)</f>
        <v>0</v>
      </c>
      <c r="I69" s="2" t="str" cm="1">
        <f t="array" aca="1" ref="I69" ca="1">_xlfn.IFS(
    ABS(Fuel_prices[[#This Row],[%_change]])&gt;50,"SEVERE IMPACT",
    ABS(Fuel_prices[[#This Row],[%_change]])&gt;25,"HIGH IMPACT",
    ABS(Fuel_prices[[#This Row],[%_change]])&gt;5,"MID IMPACT",
    ABS(Fuel_prices[[#This Row],[%_change]])&lt;=5,"LITTLE IMPACT"
)</f>
        <v>LITTLE IMPACT</v>
      </c>
    </row>
    <row r="70" spans="1:9" x14ac:dyDescent="0.25">
      <c r="A70" s="4">
        <v>27638</v>
      </c>
      <c r="B70" s="6" t="str">
        <f>_xlfn.CONCAT("Q",CEILING(Fuel_prices[[#This Row],[Month]]/3,1))</f>
        <v>Q3</v>
      </c>
      <c r="C70" s="6">
        <f>MONTH(Fuel_prices[[#This Row],[Date]])</f>
        <v>9</v>
      </c>
      <c r="D70" s="6" t="str">
        <f>TEXT(Fuel_prices[[#This Row],[Date]],"mmm")</f>
        <v>Sep</v>
      </c>
      <c r="E70" s="6">
        <f>YEAR(Fuel_prices[[#This Row],[Date]])</f>
        <v>1975</v>
      </c>
      <c r="F70" s="5">
        <v>10.43000030518</v>
      </c>
      <c r="G70" s="2">
        <f ca="1">ROUND(IFERROR((Fuel_prices[[#This Row],[Crude_Oil_Price]]-OFFSET(Fuel_prices[[#This Row],[Crude_Oil_Price]],-1,0)),0),2)</f>
        <v>0</v>
      </c>
      <c r="H70" s="2">
        <f ca="1">ROUND((IFERROR((Fuel_prices[[#This Row],[Crude_Oil_Price]]-OFFSET(Fuel_prices[[#This Row],[Crude_Oil_Price]],-1,0))/(OFFSET(Fuel_prices[[#This Row],[Crude_Oil_Price]],-1,0)),0))*100,2)</f>
        <v>0</v>
      </c>
      <c r="I70" s="2" t="str" cm="1">
        <f t="array" aca="1" ref="I70" ca="1">_xlfn.IFS(
    ABS(Fuel_prices[[#This Row],[%_change]])&gt;50,"SEVERE IMPACT",
    ABS(Fuel_prices[[#This Row],[%_change]])&gt;25,"HIGH IMPACT",
    ABS(Fuel_prices[[#This Row],[%_change]])&gt;5,"MID IMPACT",
    ABS(Fuel_prices[[#This Row],[%_change]])&lt;=5,"LITTLE IMPACT"
)</f>
        <v>LITTLE IMPACT</v>
      </c>
    </row>
    <row r="71" spans="1:9" x14ac:dyDescent="0.25">
      <c r="A71" s="4">
        <v>27668</v>
      </c>
      <c r="B71" s="6" t="str">
        <f>_xlfn.CONCAT("Q",CEILING(Fuel_prices[[#This Row],[Month]]/3,1))</f>
        <v>Q4</v>
      </c>
      <c r="C71" s="6">
        <f>MONTH(Fuel_prices[[#This Row],[Date]])</f>
        <v>10</v>
      </c>
      <c r="D71" s="6" t="str">
        <f>TEXT(Fuel_prices[[#This Row],[Date]],"mmm")</f>
        <v>Oct</v>
      </c>
      <c r="E71" s="6">
        <f>YEAR(Fuel_prices[[#This Row],[Date]])</f>
        <v>1975</v>
      </c>
      <c r="F71" s="5">
        <v>10.46000003815</v>
      </c>
      <c r="G71" s="2">
        <f ca="1">ROUND(IFERROR((Fuel_prices[[#This Row],[Crude_Oil_Price]]-OFFSET(Fuel_prices[[#This Row],[Crude_Oil_Price]],-1,0)),0),2)</f>
        <v>0.03</v>
      </c>
      <c r="H71" s="2">
        <f ca="1">ROUND((IFERROR((Fuel_prices[[#This Row],[Crude_Oil_Price]]-OFFSET(Fuel_prices[[#This Row],[Crude_Oil_Price]],-1,0))/(OFFSET(Fuel_prices[[#This Row],[Crude_Oil_Price]],-1,0)),0))*100,2)</f>
        <v>0.28999999999999998</v>
      </c>
      <c r="I71" s="2" t="str" cm="1">
        <f t="array" aca="1" ref="I71" ca="1">_xlfn.IFS(
    ABS(Fuel_prices[[#This Row],[%_change]])&gt;50,"SEVERE IMPACT",
    ABS(Fuel_prices[[#This Row],[%_change]])&gt;25,"HIGH IMPACT",
    ABS(Fuel_prices[[#This Row],[%_change]])&gt;5,"MID IMPACT",
    ABS(Fuel_prices[[#This Row],[%_change]])&lt;=5,"LITTLE IMPACT"
)</f>
        <v>LITTLE IMPACT</v>
      </c>
    </row>
    <row r="72" spans="1:9" x14ac:dyDescent="0.25">
      <c r="A72" s="4">
        <v>27699</v>
      </c>
      <c r="B72" s="6" t="str">
        <f>_xlfn.CONCAT("Q",CEILING(Fuel_prices[[#This Row],[Month]]/3,1))</f>
        <v>Q4</v>
      </c>
      <c r="C72" s="6">
        <f>MONTH(Fuel_prices[[#This Row],[Date]])</f>
        <v>11</v>
      </c>
      <c r="D72" s="6" t="str">
        <f>TEXT(Fuel_prices[[#This Row],[Date]],"mmm")</f>
        <v>Nov</v>
      </c>
      <c r="E72" s="6">
        <f>YEAR(Fuel_prices[[#This Row],[Date]])</f>
        <v>1975</v>
      </c>
      <c r="F72" s="5">
        <v>10.46000003815</v>
      </c>
      <c r="G72" s="2">
        <f ca="1">ROUND(IFERROR((Fuel_prices[[#This Row],[Crude_Oil_Price]]-OFFSET(Fuel_prices[[#This Row],[Crude_Oil_Price]],-1,0)),0),2)</f>
        <v>0</v>
      </c>
      <c r="H72" s="2">
        <f ca="1">ROUND((IFERROR((Fuel_prices[[#This Row],[Crude_Oil_Price]]-OFFSET(Fuel_prices[[#This Row],[Crude_Oil_Price]],-1,0))/(OFFSET(Fuel_prices[[#This Row],[Crude_Oil_Price]],-1,0)),0))*100,2)</f>
        <v>0</v>
      </c>
      <c r="I72" s="2" t="str" cm="1">
        <f t="array" aca="1" ref="I72" ca="1">_xlfn.IFS(
    ABS(Fuel_prices[[#This Row],[%_change]])&gt;50,"SEVERE IMPACT",
    ABS(Fuel_prices[[#This Row],[%_change]])&gt;25,"HIGH IMPACT",
    ABS(Fuel_prices[[#This Row],[%_change]])&gt;5,"MID IMPACT",
    ABS(Fuel_prices[[#This Row],[%_change]])&lt;=5,"LITTLE IMPACT"
)</f>
        <v>LITTLE IMPACT</v>
      </c>
    </row>
    <row r="73" spans="1:9" x14ac:dyDescent="0.25">
      <c r="A73" s="4">
        <v>27729</v>
      </c>
      <c r="B73" s="6" t="str">
        <f>_xlfn.CONCAT("Q",CEILING(Fuel_prices[[#This Row],[Month]]/3,1))</f>
        <v>Q4</v>
      </c>
      <c r="C73" s="6">
        <f>MONTH(Fuel_prices[[#This Row],[Date]])</f>
        <v>12</v>
      </c>
      <c r="D73" s="6" t="str">
        <f>TEXT(Fuel_prices[[#This Row],[Date]],"mmm")</f>
        <v>Dec</v>
      </c>
      <c r="E73" s="6">
        <f>YEAR(Fuel_prices[[#This Row],[Date]])</f>
        <v>1975</v>
      </c>
      <c r="F73" s="5">
        <v>10.46000003815</v>
      </c>
      <c r="G73" s="2">
        <f ca="1">ROUND(IFERROR((Fuel_prices[[#This Row],[Crude_Oil_Price]]-OFFSET(Fuel_prices[[#This Row],[Crude_Oil_Price]],-1,0)),0),2)</f>
        <v>0</v>
      </c>
      <c r="H73" s="2">
        <f ca="1">ROUND((IFERROR((Fuel_prices[[#This Row],[Crude_Oil_Price]]-OFFSET(Fuel_prices[[#This Row],[Crude_Oil_Price]],-1,0))/(OFFSET(Fuel_prices[[#This Row],[Crude_Oil_Price]],-1,0)),0))*100,2)</f>
        <v>0</v>
      </c>
      <c r="I73" s="2" t="str" cm="1">
        <f t="array" aca="1" ref="I73" ca="1">_xlfn.IFS(
    ABS(Fuel_prices[[#This Row],[%_change]])&gt;50,"SEVERE IMPACT",
    ABS(Fuel_prices[[#This Row],[%_change]])&gt;25,"HIGH IMPACT",
    ABS(Fuel_prices[[#This Row],[%_change]])&gt;5,"MID IMPACT",
    ABS(Fuel_prices[[#This Row],[%_change]])&lt;=5,"LITTLE IMPACT"
)</f>
        <v>LITTLE IMPACT</v>
      </c>
    </row>
    <row r="74" spans="1:9" x14ac:dyDescent="0.25">
      <c r="A74" s="4">
        <v>27760</v>
      </c>
      <c r="B74" s="6" t="str">
        <f>_xlfn.CONCAT("Q",CEILING(Fuel_prices[[#This Row],[Month]]/3,1))</f>
        <v>Q1</v>
      </c>
      <c r="C74" s="6">
        <f>MONTH(Fuel_prices[[#This Row],[Date]])</f>
        <v>1</v>
      </c>
      <c r="D74" s="6" t="str">
        <f>TEXT(Fuel_prices[[#This Row],[Date]],"mmm")</f>
        <v>Jan</v>
      </c>
      <c r="E74" s="6">
        <f>YEAR(Fuel_prices[[#This Row],[Date]])</f>
        <v>1976</v>
      </c>
      <c r="F74" s="5">
        <v>11.510000228879999</v>
      </c>
      <c r="G74" s="2">
        <f ca="1">ROUND(IFERROR((Fuel_prices[[#This Row],[Crude_Oil_Price]]-OFFSET(Fuel_prices[[#This Row],[Crude_Oil_Price]],-1,0)),0),2)</f>
        <v>1.05</v>
      </c>
      <c r="H74" s="2">
        <f ca="1">ROUND((IFERROR((Fuel_prices[[#This Row],[Crude_Oil_Price]]-OFFSET(Fuel_prices[[#This Row],[Crude_Oil_Price]],-1,0))/(OFFSET(Fuel_prices[[#This Row],[Crude_Oil_Price]],-1,0)),0))*100,2)</f>
        <v>10.039999999999999</v>
      </c>
      <c r="I74" s="2" t="str" cm="1">
        <f t="array" aca="1" ref="I74" ca="1">_xlfn.IFS(
    ABS(Fuel_prices[[#This Row],[%_change]])&gt;50,"SEVERE IMPACT",
    ABS(Fuel_prices[[#This Row],[%_change]])&gt;25,"HIGH IMPACT",
    ABS(Fuel_prices[[#This Row],[%_change]])&gt;5,"MID IMPACT",
    ABS(Fuel_prices[[#This Row],[%_change]])&lt;=5,"LITTLE IMPACT"
)</f>
        <v>MID IMPACT</v>
      </c>
    </row>
    <row r="75" spans="1:9" x14ac:dyDescent="0.25">
      <c r="A75" s="4">
        <v>27791</v>
      </c>
      <c r="B75" s="6" t="str">
        <f>_xlfn.CONCAT("Q",CEILING(Fuel_prices[[#This Row],[Month]]/3,1))</f>
        <v>Q1</v>
      </c>
      <c r="C75" s="6">
        <f>MONTH(Fuel_prices[[#This Row],[Date]])</f>
        <v>2</v>
      </c>
      <c r="D75" s="6" t="str">
        <f>TEXT(Fuel_prices[[#This Row],[Date]],"mmm")</f>
        <v>Feb</v>
      </c>
      <c r="E75" s="6">
        <f>YEAR(Fuel_prices[[#This Row],[Date]])</f>
        <v>1976</v>
      </c>
      <c r="F75" s="5">
        <v>11.510000228879999</v>
      </c>
      <c r="G75" s="2">
        <f ca="1">ROUND(IFERROR((Fuel_prices[[#This Row],[Crude_Oil_Price]]-OFFSET(Fuel_prices[[#This Row],[Crude_Oil_Price]],-1,0)),0),2)</f>
        <v>0</v>
      </c>
      <c r="H75" s="2">
        <f ca="1">ROUND((IFERROR((Fuel_prices[[#This Row],[Crude_Oil_Price]]-OFFSET(Fuel_prices[[#This Row],[Crude_Oil_Price]],-1,0))/(OFFSET(Fuel_prices[[#This Row],[Crude_Oil_Price]],-1,0)),0))*100,2)</f>
        <v>0</v>
      </c>
      <c r="I75" s="2" t="str" cm="1">
        <f t="array" aca="1" ref="I75" ca="1">_xlfn.IFS(
    ABS(Fuel_prices[[#This Row],[%_change]])&gt;50,"SEVERE IMPACT",
    ABS(Fuel_prices[[#This Row],[%_change]])&gt;25,"HIGH IMPACT",
    ABS(Fuel_prices[[#This Row],[%_change]])&gt;5,"MID IMPACT",
    ABS(Fuel_prices[[#This Row],[%_change]])&lt;=5,"LITTLE IMPACT"
)</f>
        <v>LITTLE IMPACT</v>
      </c>
    </row>
    <row r="76" spans="1:9" x14ac:dyDescent="0.25">
      <c r="A76" s="4">
        <v>27820</v>
      </c>
      <c r="B76" s="6" t="str">
        <f>_xlfn.CONCAT("Q",CEILING(Fuel_prices[[#This Row],[Month]]/3,1))</f>
        <v>Q1</v>
      </c>
      <c r="C76" s="6">
        <f>MONTH(Fuel_prices[[#This Row],[Date]])</f>
        <v>3</v>
      </c>
      <c r="D76" s="6" t="str">
        <f>TEXT(Fuel_prices[[#This Row],[Date]],"mmm")</f>
        <v>Mar</v>
      </c>
      <c r="E76" s="6">
        <f>YEAR(Fuel_prices[[#This Row],[Date]])</f>
        <v>1976</v>
      </c>
      <c r="F76" s="5">
        <v>11.510000228879999</v>
      </c>
      <c r="G76" s="2">
        <f ca="1">ROUND(IFERROR((Fuel_prices[[#This Row],[Crude_Oil_Price]]-OFFSET(Fuel_prices[[#This Row],[Crude_Oil_Price]],-1,0)),0),2)</f>
        <v>0</v>
      </c>
      <c r="H76" s="2">
        <f ca="1">ROUND((IFERROR((Fuel_prices[[#This Row],[Crude_Oil_Price]]-OFFSET(Fuel_prices[[#This Row],[Crude_Oil_Price]],-1,0))/(OFFSET(Fuel_prices[[#This Row],[Crude_Oil_Price]],-1,0)),0))*100,2)</f>
        <v>0</v>
      </c>
      <c r="I76" s="2" t="str" cm="1">
        <f t="array" aca="1" ref="I76" ca="1">_xlfn.IFS(
    ABS(Fuel_prices[[#This Row],[%_change]])&gt;50,"SEVERE IMPACT",
    ABS(Fuel_prices[[#This Row],[%_change]])&gt;25,"HIGH IMPACT",
    ABS(Fuel_prices[[#This Row],[%_change]])&gt;5,"MID IMPACT",
    ABS(Fuel_prices[[#This Row],[%_change]])&lt;=5,"LITTLE IMPACT"
)</f>
        <v>LITTLE IMPACT</v>
      </c>
    </row>
    <row r="77" spans="1:9" x14ac:dyDescent="0.25">
      <c r="A77" s="4">
        <v>27851</v>
      </c>
      <c r="B77" s="6" t="str">
        <f>_xlfn.CONCAT("Q",CEILING(Fuel_prices[[#This Row],[Month]]/3,1))</f>
        <v>Q2</v>
      </c>
      <c r="C77" s="6">
        <f>MONTH(Fuel_prices[[#This Row],[Date]])</f>
        <v>4</v>
      </c>
      <c r="D77" s="6" t="str">
        <f>TEXT(Fuel_prices[[#This Row],[Date]],"mmm")</f>
        <v>Apr</v>
      </c>
      <c r="E77" s="6">
        <f>YEAR(Fuel_prices[[#This Row],[Date]])</f>
        <v>1976</v>
      </c>
      <c r="F77" s="5">
        <v>11.510000228879999</v>
      </c>
      <c r="G77" s="2">
        <f ca="1">ROUND(IFERROR((Fuel_prices[[#This Row],[Crude_Oil_Price]]-OFFSET(Fuel_prices[[#This Row],[Crude_Oil_Price]],-1,0)),0),2)</f>
        <v>0</v>
      </c>
      <c r="H77" s="2">
        <f ca="1">ROUND((IFERROR((Fuel_prices[[#This Row],[Crude_Oil_Price]]-OFFSET(Fuel_prices[[#This Row],[Crude_Oil_Price]],-1,0))/(OFFSET(Fuel_prices[[#This Row],[Crude_Oil_Price]],-1,0)),0))*100,2)</f>
        <v>0</v>
      </c>
      <c r="I77" s="2" t="str" cm="1">
        <f t="array" aca="1" ref="I77" ca="1">_xlfn.IFS(
    ABS(Fuel_prices[[#This Row],[%_change]])&gt;50,"SEVERE IMPACT",
    ABS(Fuel_prices[[#This Row],[%_change]])&gt;25,"HIGH IMPACT",
    ABS(Fuel_prices[[#This Row],[%_change]])&gt;5,"MID IMPACT",
    ABS(Fuel_prices[[#This Row],[%_change]])&lt;=5,"LITTLE IMPACT"
)</f>
        <v>LITTLE IMPACT</v>
      </c>
    </row>
    <row r="78" spans="1:9" x14ac:dyDescent="0.25">
      <c r="A78" s="4">
        <v>27881</v>
      </c>
      <c r="B78" s="6" t="str">
        <f>_xlfn.CONCAT("Q",CEILING(Fuel_prices[[#This Row],[Month]]/3,1))</f>
        <v>Q2</v>
      </c>
      <c r="C78" s="6">
        <f>MONTH(Fuel_prices[[#This Row],[Date]])</f>
        <v>5</v>
      </c>
      <c r="D78" s="6" t="str">
        <f>TEXT(Fuel_prices[[#This Row],[Date]],"mmm")</f>
        <v>May</v>
      </c>
      <c r="E78" s="6">
        <f>YEAR(Fuel_prices[[#This Row],[Date]])</f>
        <v>1976</v>
      </c>
      <c r="F78" s="5">
        <v>11.510000228879999</v>
      </c>
      <c r="G78" s="2">
        <f ca="1">ROUND(IFERROR((Fuel_prices[[#This Row],[Crude_Oil_Price]]-OFFSET(Fuel_prices[[#This Row],[Crude_Oil_Price]],-1,0)),0),2)</f>
        <v>0</v>
      </c>
      <c r="H78" s="2">
        <f ca="1">ROUND((IFERROR((Fuel_prices[[#This Row],[Crude_Oil_Price]]-OFFSET(Fuel_prices[[#This Row],[Crude_Oil_Price]],-1,0))/(OFFSET(Fuel_prices[[#This Row],[Crude_Oil_Price]],-1,0)),0))*100,2)</f>
        <v>0</v>
      </c>
      <c r="I78" s="2" t="str" cm="1">
        <f t="array" aca="1" ref="I78" ca="1">_xlfn.IFS(
    ABS(Fuel_prices[[#This Row],[%_change]])&gt;50,"SEVERE IMPACT",
    ABS(Fuel_prices[[#This Row],[%_change]])&gt;25,"HIGH IMPACT",
    ABS(Fuel_prices[[#This Row],[%_change]])&gt;5,"MID IMPACT",
    ABS(Fuel_prices[[#This Row],[%_change]])&lt;=5,"LITTLE IMPACT"
)</f>
        <v>LITTLE IMPACT</v>
      </c>
    </row>
    <row r="79" spans="1:9" x14ac:dyDescent="0.25">
      <c r="A79" s="4">
        <v>27912</v>
      </c>
      <c r="B79" s="6" t="str">
        <f>_xlfn.CONCAT("Q",CEILING(Fuel_prices[[#This Row],[Month]]/3,1))</f>
        <v>Q2</v>
      </c>
      <c r="C79" s="6">
        <f>MONTH(Fuel_prices[[#This Row],[Date]])</f>
        <v>6</v>
      </c>
      <c r="D79" s="6" t="str">
        <f>TEXT(Fuel_prices[[#This Row],[Date]],"mmm")</f>
        <v>Jun</v>
      </c>
      <c r="E79" s="6">
        <f>YEAR(Fuel_prices[[#This Row],[Date]])</f>
        <v>1976</v>
      </c>
      <c r="F79" s="5">
        <v>11.510000228879999</v>
      </c>
      <c r="G79" s="2">
        <f ca="1">ROUND(IFERROR((Fuel_prices[[#This Row],[Crude_Oil_Price]]-OFFSET(Fuel_prices[[#This Row],[Crude_Oil_Price]],-1,0)),0),2)</f>
        <v>0</v>
      </c>
      <c r="H79" s="2">
        <f ca="1">ROUND((IFERROR((Fuel_prices[[#This Row],[Crude_Oil_Price]]-OFFSET(Fuel_prices[[#This Row],[Crude_Oil_Price]],-1,0))/(OFFSET(Fuel_prices[[#This Row],[Crude_Oil_Price]],-1,0)),0))*100,2)</f>
        <v>0</v>
      </c>
      <c r="I79" s="2" t="str" cm="1">
        <f t="array" aca="1" ref="I79" ca="1">_xlfn.IFS(
    ABS(Fuel_prices[[#This Row],[%_change]])&gt;50,"SEVERE IMPACT",
    ABS(Fuel_prices[[#This Row],[%_change]])&gt;25,"HIGH IMPACT",
    ABS(Fuel_prices[[#This Row],[%_change]])&gt;5,"MID IMPACT",
    ABS(Fuel_prices[[#This Row],[%_change]])&lt;=5,"LITTLE IMPACT"
)</f>
        <v>LITTLE IMPACT</v>
      </c>
    </row>
    <row r="80" spans="1:9" x14ac:dyDescent="0.25">
      <c r="A80" s="4">
        <v>27942</v>
      </c>
      <c r="B80" s="6" t="str">
        <f>_xlfn.CONCAT("Q",CEILING(Fuel_prices[[#This Row],[Month]]/3,1))</f>
        <v>Q3</v>
      </c>
      <c r="C80" s="6">
        <f>MONTH(Fuel_prices[[#This Row],[Date]])</f>
        <v>7</v>
      </c>
      <c r="D80" s="6" t="str">
        <f>TEXT(Fuel_prices[[#This Row],[Date]],"mmm")</f>
        <v>Jul</v>
      </c>
      <c r="E80" s="6">
        <f>YEAR(Fuel_prices[[#This Row],[Date]])</f>
        <v>1976</v>
      </c>
      <c r="F80" s="5">
        <v>11.60000038147</v>
      </c>
      <c r="G80" s="2">
        <f ca="1">ROUND(IFERROR((Fuel_prices[[#This Row],[Crude_Oil_Price]]-OFFSET(Fuel_prices[[#This Row],[Crude_Oil_Price]],-1,0)),0),2)</f>
        <v>0.09</v>
      </c>
      <c r="H80" s="2">
        <f ca="1">ROUND((IFERROR((Fuel_prices[[#This Row],[Crude_Oil_Price]]-OFFSET(Fuel_prices[[#This Row],[Crude_Oil_Price]],-1,0))/(OFFSET(Fuel_prices[[#This Row],[Crude_Oil_Price]],-1,0)),0))*100,2)</f>
        <v>0.78</v>
      </c>
      <c r="I80" s="2" t="str" cm="1">
        <f t="array" aca="1" ref="I80" ca="1">_xlfn.IFS(
    ABS(Fuel_prices[[#This Row],[%_change]])&gt;50,"SEVERE IMPACT",
    ABS(Fuel_prices[[#This Row],[%_change]])&gt;25,"HIGH IMPACT",
    ABS(Fuel_prices[[#This Row],[%_change]])&gt;5,"MID IMPACT",
    ABS(Fuel_prices[[#This Row],[%_change]])&lt;=5,"LITTLE IMPACT"
)</f>
        <v>LITTLE IMPACT</v>
      </c>
    </row>
    <row r="81" spans="1:9" x14ac:dyDescent="0.25">
      <c r="A81" s="4">
        <v>27973</v>
      </c>
      <c r="B81" s="6" t="str">
        <f>_xlfn.CONCAT("Q",CEILING(Fuel_prices[[#This Row],[Month]]/3,1))</f>
        <v>Q3</v>
      </c>
      <c r="C81" s="6">
        <f>MONTH(Fuel_prices[[#This Row],[Date]])</f>
        <v>8</v>
      </c>
      <c r="D81" s="6" t="str">
        <f>TEXT(Fuel_prices[[#This Row],[Date]],"mmm")</f>
        <v>Aug</v>
      </c>
      <c r="E81" s="6">
        <f>YEAR(Fuel_prices[[#This Row],[Date]])</f>
        <v>1976</v>
      </c>
      <c r="F81" s="5">
        <v>11.60000038147</v>
      </c>
      <c r="G81" s="2">
        <f ca="1">ROUND(IFERROR((Fuel_prices[[#This Row],[Crude_Oil_Price]]-OFFSET(Fuel_prices[[#This Row],[Crude_Oil_Price]],-1,0)),0),2)</f>
        <v>0</v>
      </c>
      <c r="H81" s="2">
        <f ca="1">ROUND((IFERROR((Fuel_prices[[#This Row],[Crude_Oil_Price]]-OFFSET(Fuel_prices[[#This Row],[Crude_Oil_Price]],-1,0))/(OFFSET(Fuel_prices[[#This Row],[Crude_Oil_Price]],-1,0)),0))*100,2)</f>
        <v>0</v>
      </c>
      <c r="I81" s="2" t="str" cm="1">
        <f t="array" aca="1" ref="I81" ca="1">_xlfn.IFS(
    ABS(Fuel_prices[[#This Row],[%_change]])&gt;50,"SEVERE IMPACT",
    ABS(Fuel_prices[[#This Row],[%_change]])&gt;25,"HIGH IMPACT",
    ABS(Fuel_prices[[#This Row],[%_change]])&gt;5,"MID IMPACT",
    ABS(Fuel_prices[[#This Row],[%_change]])&lt;=5,"LITTLE IMPACT"
)</f>
        <v>LITTLE IMPACT</v>
      </c>
    </row>
    <row r="82" spans="1:9" x14ac:dyDescent="0.25">
      <c r="A82" s="4">
        <v>28004</v>
      </c>
      <c r="B82" s="6" t="str">
        <f>_xlfn.CONCAT("Q",CEILING(Fuel_prices[[#This Row],[Month]]/3,1))</f>
        <v>Q3</v>
      </c>
      <c r="C82" s="6">
        <f>MONTH(Fuel_prices[[#This Row],[Date]])</f>
        <v>9</v>
      </c>
      <c r="D82" s="6" t="str">
        <f>TEXT(Fuel_prices[[#This Row],[Date]],"mmm")</f>
        <v>Sep</v>
      </c>
      <c r="E82" s="6">
        <f>YEAR(Fuel_prices[[#This Row],[Date]])</f>
        <v>1976</v>
      </c>
      <c r="F82" s="5">
        <v>11.60000038147</v>
      </c>
      <c r="G82" s="2">
        <f ca="1">ROUND(IFERROR((Fuel_prices[[#This Row],[Crude_Oil_Price]]-OFFSET(Fuel_prices[[#This Row],[Crude_Oil_Price]],-1,0)),0),2)</f>
        <v>0</v>
      </c>
      <c r="H82" s="2">
        <f ca="1">ROUND((IFERROR((Fuel_prices[[#This Row],[Crude_Oil_Price]]-OFFSET(Fuel_prices[[#This Row],[Crude_Oil_Price]],-1,0))/(OFFSET(Fuel_prices[[#This Row],[Crude_Oil_Price]],-1,0)),0))*100,2)</f>
        <v>0</v>
      </c>
      <c r="I82" s="2" t="str" cm="1">
        <f t="array" aca="1" ref="I82" ca="1">_xlfn.IFS(
    ABS(Fuel_prices[[#This Row],[%_change]])&gt;50,"SEVERE IMPACT",
    ABS(Fuel_prices[[#This Row],[%_change]])&gt;25,"HIGH IMPACT",
    ABS(Fuel_prices[[#This Row],[%_change]])&gt;5,"MID IMPACT",
    ABS(Fuel_prices[[#This Row],[%_change]])&lt;=5,"LITTLE IMPACT"
)</f>
        <v>LITTLE IMPACT</v>
      </c>
    </row>
    <row r="83" spans="1:9" x14ac:dyDescent="0.25">
      <c r="A83" s="4">
        <v>28034</v>
      </c>
      <c r="B83" s="6" t="str">
        <f>_xlfn.CONCAT("Q",CEILING(Fuel_prices[[#This Row],[Month]]/3,1))</f>
        <v>Q4</v>
      </c>
      <c r="C83" s="6">
        <f>MONTH(Fuel_prices[[#This Row],[Date]])</f>
        <v>10</v>
      </c>
      <c r="D83" s="6" t="str">
        <f>TEXT(Fuel_prices[[#This Row],[Date]],"mmm")</f>
        <v>Oct</v>
      </c>
      <c r="E83" s="6">
        <f>YEAR(Fuel_prices[[#This Row],[Date]])</f>
        <v>1976</v>
      </c>
      <c r="F83" s="5">
        <v>11.89999961853</v>
      </c>
      <c r="G83" s="2">
        <f ca="1">ROUND(IFERROR((Fuel_prices[[#This Row],[Crude_Oil_Price]]-OFFSET(Fuel_prices[[#This Row],[Crude_Oil_Price]],-1,0)),0),2)</f>
        <v>0.3</v>
      </c>
      <c r="H83" s="2">
        <f ca="1">ROUND((IFERROR((Fuel_prices[[#This Row],[Crude_Oil_Price]]-OFFSET(Fuel_prices[[#This Row],[Crude_Oil_Price]],-1,0))/(OFFSET(Fuel_prices[[#This Row],[Crude_Oil_Price]],-1,0)),0))*100,2)</f>
        <v>2.59</v>
      </c>
      <c r="I83" s="2" t="str" cm="1">
        <f t="array" aca="1" ref="I83" ca="1">_xlfn.IFS(
    ABS(Fuel_prices[[#This Row],[%_change]])&gt;50,"SEVERE IMPACT",
    ABS(Fuel_prices[[#This Row],[%_change]])&gt;25,"HIGH IMPACT",
    ABS(Fuel_prices[[#This Row],[%_change]])&gt;5,"MID IMPACT",
    ABS(Fuel_prices[[#This Row],[%_change]])&lt;=5,"LITTLE IMPACT"
)</f>
        <v>LITTLE IMPACT</v>
      </c>
    </row>
    <row r="84" spans="1:9" x14ac:dyDescent="0.25">
      <c r="A84" s="4">
        <v>28065</v>
      </c>
      <c r="B84" s="6" t="str">
        <f>_xlfn.CONCAT("Q",CEILING(Fuel_prices[[#This Row],[Month]]/3,1))</f>
        <v>Q4</v>
      </c>
      <c r="C84" s="6">
        <f>MONTH(Fuel_prices[[#This Row],[Date]])</f>
        <v>11</v>
      </c>
      <c r="D84" s="6" t="str">
        <f>TEXT(Fuel_prices[[#This Row],[Date]],"mmm")</f>
        <v>Nov</v>
      </c>
      <c r="E84" s="6">
        <f>YEAR(Fuel_prices[[#This Row],[Date]])</f>
        <v>1976</v>
      </c>
      <c r="F84" s="5">
        <v>11.89999961853</v>
      </c>
      <c r="G84" s="2">
        <f ca="1">ROUND(IFERROR((Fuel_prices[[#This Row],[Crude_Oil_Price]]-OFFSET(Fuel_prices[[#This Row],[Crude_Oil_Price]],-1,0)),0),2)</f>
        <v>0</v>
      </c>
      <c r="H84" s="2">
        <f ca="1">ROUND((IFERROR((Fuel_prices[[#This Row],[Crude_Oil_Price]]-OFFSET(Fuel_prices[[#This Row],[Crude_Oil_Price]],-1,0))/(OFFSET(Fuel_prices[[#This Row],[Crude_Oil_Price]],-1,0)),0))*100,2)</f>
        <v>0</v>
      </c>
      <c r="I84" s="2" t="str" cm="1">
        <f t="array" aca="1" ref="I84" ca="1">_xlfn.IFS(
    ABS(Fuel_prices[[#This Row],[%_change]])&gt;50,"SEVERE IMPACT",
    ABS(Fuel_prices[[#This Row],[%_change]])&gt;25,"HIGH IMPACT",
    ABS(Fuel_prices[[#This Row],[%_change]])&gt;5,"MID IMPACT",
    ABS(Fuel_prices[[#This Row],[%_change]])&lt;=5,"LITTLE IMPACT"
)</f>
        <v>LITTLE IMPACT</v>
      </c>
    </row>
    <row r="85" spans="1:9" x14ac:dyDescent="0.25">
      <c r="A85" s="4">
        <v>28095</v>
      </c>
      <c r="B85" s="6" t="str">
        <f>_xlfn.CONCAT("Q",CEILING(Fuel_prices[[#This Row],[Month]]/3,1))</f>
        <v>Q4</v>
      </c>
      <c r="C85" s="6">
        <f>MONTH(Fuel_prices[[#This Row],[Date]])</f>
        <v>12</v>
      </c>
      <c r="D85" s="6" t="str">
        <f>TEXT(Fuel_prices[[#This Row],[Date]],"mmm")</f>
        <v>Dec</v>
      </c>
      <c r="E85" s="6">
        <f>YEAR(Fuel_prices[[#This Row],[Date]])</f>
        <v>1976</v>
      </c>
      <c r="F85" s="5">
        <v>11.89999961853</v>
      </c>
      <c r="G85" s="2">
        <f ca="1">ROUND(IFERROR((Fuel_prices[[#This Row],[Crude_Oil_Price]]-OFFSET(Fuel_prices[[#This Row],[Crude_Oil_Price]],-1,0)),0),2)</f>
        <v>0</v>
      </c>
      <c r="H85" s="2">
        <f ca="1">ROUND((IFERROR((Fuel_prices[[#This Row],[Crude_Oil_Price]]-OFFSET(Fuel_prices[[#This Row],[Crude_Oil_Price]],-1,0))/(OFFSET(Fuel_prices[[#This Row],[Crude_Oil_Price]],-1,0)),0))*100,2)</f>
        <v>0</v>
      </c>
      <c r="I85" s="2" t="str" cm="1">
        <f t="array" aca="1" ref="I85" ca="1">_xlfn.IFS(
    ABS(Fuel_prices[[#This Row],[%_change]])&gt;50,"SEVERE IMPACT",
    ABS(Fuel_prices[[#This Row],[%_change]])&gt;25,"HIGH IMPACT",
    ABS(Fuel_prices[[#This Row],[%_change]])&gt;5,"MID IMPACT",
    ABS(Fuel_prices[[#This Row],[%_change]])&lt;=5,"LITTLE IMPACT"
)</f>
        <v>LITTLE IMPACT</v>
      </c>
    </row>
    <row r="86" spans="1:9" x14ac:dyDescent="0.25">
      <c r="A86" s="4">
        <v>28126</v>
      </c>
      <c r="B86" s="6" t="str">
        <f>_xlfn.CONCAT("Q",CEILING(Fuel_prices[[#This Row],[Month]]/3,1))</f>
        <v>Q1</v>
      </c>
      <c r="C86" s="6">
        <f>MONTH(Fuel_prices[[#This Row],[Date]])</f>
        <v>1</v>
      </c>
      <c r="D86" s="6" t="str">
        <f>TEXT(Fuel_prices[[#This Row],[Date]],"mmm")</f>
        <v>Jan</v>
      </c>
      <c r="E86" s="6">
        <f>YEAR(Fuel_prices[[#This Row],[Date]])</f>
        <v>1977</v>
      </c>
      <c r="F86" s="5">
        <v>12.5</v>
      </c>
      <c r="G86" s="2">
        <f ca="1">ROUND(IFERROR((Fuel_prices[[#This Row],[Crude_Oil_Price]]-OFFSET(Fuel_prices[[#This Row],[Crude_Oil_Price]],-1,0)),0),2)</f>
        <v>0.6</v>
      </c>
      <c r="H86" s="2">
        <f ca="1">ROUND((IFERROR((Fuel_prices[[#This Row],[Crude_Oil_Price]]-OFFSET(Fuel_prices[[#This Row],[Crude_Oil_Price]],-1,0))/(OFFSET(Fuel_prices[[#This Row],[Crude_Oil_Price]],-1,0)),0))*100,2)</f>
        <v>5.04</v>
      </c>
      <c r="I86" s="2" t="str" cm="1">
        <f t="array" aca="1" ref="I86" ca="1">_xlfn.IFS(
    ABS(Fuel_prices[[#This Row],[%_change]])&gt;50,"SEVERE IMPACT",
    ABS(Fuel_prices[[#This Row],[%_change]])&gt;25,"HIGH IMPACT",
    ABS(Fuel_prices[[#This Row],[%_change]])&gt;5,"MID IMPACT",
    ABS(Fuel_prices[[#This Row],[%_change]])&lt;=5,"LITTLE IMPACT"
)</f>
        <v>MID IMPACT</v>
      </c>
    </row>
    <row r="87" spans="1:9" x14ac:dyDescent="0.25">
      <c r="A87" s="4">
        <v>28157</v>
      </c>
      <c r="B87" s="6" t="str">
        <f>_xlfn.CONCAT("Q",CEILING(Fuel_prices[[#This Row],[Month]]/3,1))</f>
        <v>Q1</v>
      </c>
      <c r="C87" s="6">
        <f>MONTH(Fuel_prices[[#This Row],[Date]])</f>
        <v>2</v>
      </c>
      <c r="D87" s="6" t="str">
        <f>TEXT(Fuel_prices[[#This Row],[Date]],"mmm")</f>
        <v>Feb</v>
      </c>
      <c r="E87" s="6">
        <f>YEAR(Fuel_prices[[#This Row],[Date]])</f>
        <v>1977</v>
      </c>
      <c r="F87" s="5">
        <v>12.5</v>
      </c>
      <c r="G87" s="2">
        <f ca="1">ROUND(IFERROR((Fuel_prices[[#This Row],[Crude_Oil_Price]]-OFFSET(Fuel_prices[[#This Row],[Crude_Oil_Price]],-1,0)),0),2)</f>
        <v>0</v>
      </c>
      <c r="H87" s="2">
        <f ca="1">ROUND((IFERROR((Fuel_prices[[#This Row],[Crude_Oil_Price]]-OFFSET(Fuel_prices[[#This Row],[Crude_Oil_Price]],-1,0))/(OFFSET(Fuel_prices[[#This Row],[Crude_Oil_Price]],-1,0)),0))*100,2)</f>
        <v>0</v>
      </c>
      <c r="I87" s="2" t="str" cm="1">
        <f t="array" aca="1" ref="I87" ca="1">_xlfn.IFS(
    ABS(Fuel_prices[[#This Row],[%_change]])&gt;50,"SEVERE IMPACT",
    ABS(Fuel_prices[[#This Row],[%_change]])&gt;25,"HIGH IMPACT",
    ABS(Fuel_prices[[#This Row],[%_change]])&gt;5,"MID IMPACT",
    ABS(Fuel_prices[[#This Row],[%_change]])&lt;=5,"LITTLE IMPACT"
)</f>
        <v>LITTLE IMPACT</v>
      </c>
    </row>
    <row r="88" spans="1:9" x14ac:dyDescent="0.25">
      <c r="A88" s="4">
        <v>28185</v>
      </c>
      <c r="B88" s="6" t="str">
        <f>_xlfn.CONCAT("Q",CEILING(Fuel_prices[[#This Row],[Month]]/3,1))</f>
        <v>Q1</v>
      </c>
      <c r="C88" s="6">
        <f>MONTH(Fuel_prices[[#This Row],[Date]])</f>
        <v>3</v>
      </c>
      <c r="D88" s="6" t="str">
        <f>TEXT(Fuel_prices[[#This Row],[Date]],"mmm")</f>
        <v>Mar</v>
      </c>
      <c r="E88" s="6">
        <f>YEAR(Fuel_prices[[#This Row],[Date]])</f>
        <v>1977</v>
      </c>
      <c r="F88" s="5">
        <v>12.5</v>
      </c>
      <c r="G88" s="2">
        <f ca="1">ROUND(IFERROR((Fuel_prices[[#This Row],[Crude_Oil_Price]]-OFFSET(Fuel_prices[[#This Row],[Crude_Oil_Price]],-1,0)),0),2)</f>
        <v>0</v>
      </c>
      <c r="H88" s="2">
        <f ca="1">ROUND((IFERROR((Fuel_prices[[#This Row],[Crude_Oil_Price]]-OFFSET(Fuel_prices[[#This Row],[Crude_Oil_Price]],-1,0))/(OFFSET(Fuel_prices[[#This Row],[Crude_Oil_Price]],-1,0)),0))*100,2)</f>
        <v>0</v>
      </c>
      <c r="I88" s="2" t="str" cm="1">
        <f t="array" aca="1" ref="I88" ca="1">_xlfn.IFS(
    ABS(Fuel_prices[[#This Row],[%_change]])&gt;50,"SEVERE IMPACT",
    ABS(Fuel_prices[[#This Row],[%_change]])&gt;25,"HIGH IMPACT",
    ABS(Fuel_prices[[#This Row],[%_change]])&gt;5,"MID IMPACT",
    ABS(Fuel_prices[[#This Row],[%_change]])&lt;=5,"LITTLE IMPACT"
)</f>
        <v>LITTLE IMPACT</v>
      </c>
    </row>
    <row r="89" spans="1:9" x14ac:dyDescent="0.25">
      <c r="A89" s="4">
        <v>28216</v>
      </c>
      <c r="B89" s="6" t="str">
        <f>_xlfn.CONCAT("Q",CEILING(Fuel_prices[[#This Row],[Month]]/3,1))</f>
        <v>Q2</v>
      </c>
      <c r="C89" s="6">
        <f>MONTH(Fuel_prices[[#This Row],[Date]])</f>
        <v>4</v>
      </c>
      <c r="D89" s="6" t="str">
        <f>TEXT(Fuel_prices[[#This Row],[Date]],"mmm")</f>
        <v>Apr</v>
      </c>
      <c r="E89" s="6">
        <f>YEAR(Fuel_prices[[#This Row],[Date]])</f>
        <v>1977</v>
      </c>
      <c r="F89" s="5">
        <v>12.44999980927</v>
      </c>
      <c r="G89" s="2">
        <f ca="1">ROUND(IFERROR((Fuel_prices[[#This Row],[Crude_Oil_Price]]-OFFSET(Fuel_prices[[#This Row],[Crude_Oil_Price]],-1,0)),0),2)</f>
        <v>-0.05</v>
      </c>
      <c r="H89" s="2">
        <f ca="1">ROUND((IFERROR((Fuel_prices[[#This Row],[Crude_Oil_Price]]-OFFSET(Fuel_prices[[#This Row],[Crude_Oil_Price]],-1,0))/(OFFSET(Fuel_prices[[#This Row],[Crude_Oil_Price]],-1,0)),0))*100,2)</f>
        <v>-0.4</v>
      </c>
      <c r="I89" s="2" t="str" cm="1">
        <f t="array" aca="1" ref="I89" ca="1">_xlfn.IFS(
    ABS(Fuel_prices[[#This Row],[%_change]])&gt;50,"SEVERE IMPACT",
    ABS(Fuel_prices[[#This Row],[%_change]])&gt;25,"HIGH IMPACT",
    ABS(Fuel_prices[[#This Row],[%_change]])&gt;5,"MID IMPACT",
    ABS(Fuel_prices[[#This Row],[%_change]])&lt;=5,"LITTLE IMPACT"
)</f>
        <v>LITTLE IMPACT</v>
      </c>
    </row>
    <row r="90" spans="1:9" x14ac:dyDescent="0.25">
      <c r="A90" s="4">
        <v>28246</v>
      </c>
      <c r="B90" s="6" t="str">
        <f>_xlfn.CONCAT("Q",CEILING(Fuel_prices[[#This Row],[Month]]/3,1))</f>
        <v>Q2</v>
      </c>
      <c r="C90" s="6">
        <f>MONTH(Fuel_prices[[#This Row],[Date]])</f>
        <v>5</v>
      </c>
      <c r="D90" s="6" t="str">
        <f>TEXT(Fuel_prices[[#This Row],[Date]],"mmm")</f>
        <v>May</v>
      </c>
      <c r="E90" s="6">
        <f>YEAR(Fuel_prices[[#This Row],[Date]])</f>
        <v>1977</v>
      </c>
      <c r="F90" s="5">
        <v>12.44999980927</v>
      </c>
      <c r="G90" s="2">
        <f ca="1">ROUND(IFERROR((Fuel_prices[[#This Row],[Crude_Oil_Price]]-OFFSET(Fuel_prices[[#This Row],[Crude_Oil_Price]],-1,0)),0),2)</f>
        <v>0</v>
      </c>
      <c r="H90" s="2">
        <f ca="1">ROUND((IFERROR((Fuel_prices[[#This Row],[Crude_Oil_Price]]-OFFSET(Fuel_prices[[#This Row],[Crude_Oil_Price]],-1,0))/(OFFSET(Fuel_prices[[#This Row],[Crude_Oil_Price]],-1,0)),0))*100,2)</f>
        <v>0</v>
      </c>
      <c r="I90" s="2" t="str" cm="1">
        <f t="array" aca="1" ref="I90" ca="1">_xlfn.IFS(
    ABS(Fuel_prices[[#This Row],[%_change]])&gt;50,"SEVERE IMPACT",
    ABS(Fuel_prices[[#This Row],[%_change]])&gt;25,"HIGH IMPACT",
    ABS(Fuel_prices[[#This Row],[%_change]])&gt;5,"MID IMPACT",
    ABS(Fuel_prices[[#This Row],[%_change]])&lt;=5,"LITTLE IMPACT"
)</f>
        <v>LITTLE IMPACT</v>
      </c>
    </row>
    <row r="91" spans="1:9" x14ac:dyDescent="0.25">
      <c r="A91" s="4">
        <v>28277</v>
      </c>
      <c r="B91" s="6" t="str">
        <f>_xlfn.CONCAT("Q",CEILING(Fuel_prices[[#This Row],[Month]]/3,1))</f>
        <v>Q2</v>
      </c>
      <c r="C91" s="6">
        <f>MONTH(Fuel_prices[[#This Row],[Date]])</f>
        <v>6</v>
      </c>
      <c r="D91" s="6" t="str">
        <f>TEXT(Fuel_prices[[#This Row],[Date]],"mmm")</f>
        <v>Jun</v>
      </c>
      <c r="E91" s="6">
        <f>YEAR(Fuel_prices[[#This Row],[Date]])</f>
        <v>1977</v>
      </c>
      <c r="F91" s="5">
        <v>12.44999980927</v>
      </c>
      <c r="G91" s="2">
        <f ca="1">ROUND(IFERROR((Fuel_prices[[#This Row],[Crude_Oil_Price]]-OFFSET(Fuel_prices[[#This Row],[Crude_Oil_Price]],-1,0)),0),2)</f>
        <v>0</v>
      </c>
      <c r="H91" s="2">
        <f ca="1">ROUND((IFERROR((Fuel_prices[[#This Row],[Crude_Oil_Price]]-OFFSET(Fuel_prices[[#This Row],[Crude_Oil_Price]],-1,0))/(OFFSET(Fuel_prices[[#This Row],[Crude_Oil_Price]],-1,0)),0))*100,2)</f>
        <v>0</v>
      </c>
      <c r="I91" s="2" t="str" cm="1">
        <f t="array" aca="1" ref="I91" ca="1">_xlfn.IFS(
    ABS(Fuel_prices[[#This Row],[%_change]])&gt;50,"SEVERE IMPACT",
    ABS(Fuel_prices[[#This Row],[%_change]])&gt;25,"HIGH IMPACT",
    ABS(Fuel_prices[[#This Row],[%_change]])&gt;5,"MID IMPACT",
    ABS(Fuel_prices[[#This Row],[%_change]])&lt;=5,"LITTLE IMPACT"
)</f>
        <v>LITTLE IMPACT</v>
      </c>
    </row>
    <row r="92" spans="1:9" x14ac:dyDescent="0.25">
      <c r="A92" s="4">
        <v>28307</v>
      </c>
      <c r="B92" s="6" t="str">
        <f>_xlfn.CONCAT("Q",CEILING(Fuel_prices[[#This Row],[Month]]/3,1))</f>
        <v>Q3</v>
      </c>
      <c r="C92" s="6">
        <f>MONTH(Fuel_prices[[#This Row],[Date]])</f>
        <v>7</v>
      </c>
      <c r="D92" s="6" t="str">
        <f>TEXT(Fuel_prices[[#This Row],[Date]],"mmm")</f>
        <v>Jul</v>
      </c>
      <c r="E92" s="6">
        <f>YEAR(Fuel_prices[[#This Row],[Date]])</f>
        <v>1977</v>
      </c>
      <c r="F92" s="5">
        <v>12.63000011444</v>
      </c>
      <c r="G92" s="2">
        <f ca="1">ROUND(IFERROR((Fuel_prices[[#This Row],[Crude_Oil_Price]]-OFFSET(Fuel_prices[[#This Row],[Crude_Oil_Price]],-1,0)),0),2)</f>
        <v>0.18</v>
      </c>
      <c r="H92" s="2">
        <f ca="1">ROUND((IFERROR((Fuel_prices[[#This Row],[Crude_Oil_Price]]-OFFSET(Fuel_prices[[#This Row],[Crude_Oil_Price]],-1,0))/(OFFSET(Fuel_prices[[#This Row],[Crude_Oil_Price]],-1,0)),0))*100,2)</f>
        <v>1.45</v>
      </c>
      <c r="I92" s="2" t="str" cm="1">
        <f t="array" aca="1" ref="I92" ca="1">_xlfn.IFS(
    ABS(Fuel_prices[[#This Row],[%_change]])&gt;50,"SEVERE IMPACT",
    ABS(Fuel_prices[[#This Row],[%_change]])&gt;25,"HIGH IMPACT",
    ABS(Fuel_prices[[#This Row],[%_change]])&gt;5,"MID IMPACT",
    ABS(Fuel_prices[[#This Row],[%_change]])&lt;=5,"LITTLE IMPACT"
)</f>
        <v>LITTLE IMPACT</v>
      </c>
    </row>
    <row r="93" spans="1:9" x14ac:dyDescent="0.25">
      <c r="A93" s="4">
        <v>28338</v>
      </c>
      <c r="B93" s="6" t="str">
        <f>_xlfn.CONCAT("Q",CEILING(Fuel_prices[[#This Row],[Month]]/3,1))</f>
        <v>Q3</v>
      </c>
      <c r="C93" s="6">
        <f>MONTH(Fuel_prices[[#This Row],[Date]])</f>
        <v>8</v>
      </c>
      <c r="D93" s="6" t="str">
        <f>TEXT(Fuel_prices[[#This Row],[Date]],"mmm")</f>
        <v>Aug</v>
      </c>
      <c r="E93" s="6">
        <f>YEAR(Fuel_prices[[#This Row],[Date]])</f>
        <v>1977</v>
      </c>
      <c r="F93" s="5">
        <v>12.63000011444</v>
      </c>
      <c r="G93" s="2">
        <f ca="1">ROUND(IFERROR((Fuel_prices[[#This Row],[Crude_Oil_Price]]-OFFSET(Fuel_prices[[#This Row],[Crude_Oil_Price]],-1,0)),0),2)</f>
        <v>0</v>
      </c>
      <c r="H93" s="2">
        <f ca="1">ROUND((IFERROR((Fuel_prices[[#This Row],[Crude_Oil_Price]]-OFFSET(Fuel_prices[[#This Row],[Crude_Oil_Price]],-1,0))/(OFFSET(Fuel_prices[[#This Row],[Crude_Oil_Price]],-1,0)),0))*100,2)</f>
        <v>0</v>
      </c>
      <c r="I93" s="2" t="str" cm="1">
        <f t="array" aca="1" ref="I93" ca="1">_xlfn.IFS(
    ABS(Fuel_prices[[#This Row],[%_change]])&gt;50,"SEVERE IMPACT",
    ABS(Fuel_prices[[#This Row],[%_change]])&gt;25,"HIGH IMPACT",
    ABS(Fuel_prices[[#This Row],[%_change]])&gt;5,"MID IMPACT",
    ABS(Fuel_prices[[#This Row],[%_change]])&lt;=5,"LITTLE IMPACT"
)</f>
        <v>LITTLE IMPACT</v>
      </c>
    </row>
    <row r="94" spans="1:9" x14ac:dyDescent="0.25">
      <c r="A94" s="4">
        <v>28369</v>
      </c>
      <c r="B94" s="6" t="str">
        <f>_xlfn.CONCAT("Q",CEILING(Fuel_prices[[#This Row],[Month]]/3,1))</f>
        <v>Q3</v>
      </c>
      <c r="C94" s="6">
        <f>MONTH(Fuel_prices[[#This Row],[Date]])</f>
        <v>9</v>
      </c>
      <c r="D94" s="6" t="str">
        <f>TEXT(Fuel_prices[[#This Row],[Date]],"mmm")</f>
        <v>Sep</v>
      </c>
      <c r="E94" s="6">
        <f>YEAR(Fuel_prices[[#This Row],[Date]])</f>
        <v>1977</v>
      </c>
      <c r="F94" s="5">
        <v>12.63000011444</v>
      </c>
      <c r="G94" s="2">
        <f ca="1">ROUND(IFERROR((Fuel_prices[[#This Row],[Crude_Oil_Price]]-OFFSET(Fuel_prices[[#This Row],[Crude_Oil_Price]],-1,0)),0),2)</f>
        <v>0</v>
      </c>
      <c r="H94" s="2">
        <f ca="1">ROUND((IFERROR((Fuel_prices[[#This Row],[Crude_Oil_Price]]-OFFSET(Fuel_prices[[#This Row],[Crude_Oil_Price]],-1,0))/(OFFSET(Fuel_prices[[#This Row],[Crude_Oil_Price]],-1,0)),0))*100,2)</f>
        <v>0</v>
      </c>
      <c r="I94" s="2" t="str" cm="1">
        <f t="array" aca="1" ref="I94" ca="1">_xlfn.IFS(
    ABS(Fuel_prices[[#This Row],[%_change]])&gt;50,"SEVERE IMPACT",
    ABS(Fuel_prices[[#This Row],[%_change]])&gt;25,"HIGH IMPACT",
    ABS(Fuel_prices[[#This Row],[%_change]])&gt;5,"MID IMPACT",
    ABS(Fuel_prices[[#This Row],[%_change]])&lt;=5,"LITTLE IMPACT"
)</f>
        <v>LITTLE IMPACT</v>
      </c>
    </row>
    <row r="95" spans="1:9" x14ac:dyDescent="0.25">
      <c r="A95" s="4">
        <v>28399</v>
      </c>
      <c r="B95" s="6" t="str">
        <f>_xlfn.CONCAT("Q",CEILING(Fuel_prices[[#This Row],[Month]]/3,1))</f>
        <v>Q4</v>
      </c>
      <c r="C95" s="6">
        <f>MONTH(Fuel_prices[[#This Row],[Date]])</f>
        <v>10</v>
      </c>
      <c r="D95" s="6" t="str">
        <f>TEXT(Fuel_prices[[#This Row],[Date]],"mmm")</f>
        <v>Oct</v>
      </c>
      <c r="E95" s="6">
        <f>YEAR(Fuel_prices[[#This Row],[Date]])</f>
        <v>1977</v>
      </c>
      <c r="F95" s="5">
        <v>12.68000030518</v>
      </c>
      <c r="G95" s="2">
        <f ca="1">ROUND(IFERROR((Fuel_prices[[#This Row],[Crude_Oil_Price]]-OFFSET(Fuel_prices[[#This Row],[Crude_Oil_Price]],-1,0)),0),2)</f>
        <v>0.05</v>
      </c>
      <c r="H95" s="2">
        <f ca="1">ROUND((IFERROR((Fuel_prices[[#This Row],[Crude_Oil_Price]]-OFFSET(Fuel_prices[[#This Row],[Crude_Oil_Price]],-1,0))/(OFFSET(Fuel_prices[[#This Row],[Crude_Oil_Price]],-1,0)),0))*100,2)</f>
        <v>0.4</v>
      </c>
      <c r="I95" s="2" t="str" cm="1">
        <f t="array" aca="1" ref="I95" ca="1">_xlfn.IFS(
    ABS(Fuel_prices[[#This Row],[%_change]])&gt;50,"SEVERE IMPACT",
    ABS(Fuel_prices[[#This Row],[%_change]])&gt;25,"HIGH IMPACT",
    ABS(Fuel_prices[[#This Row],[%_change]])&gt;5,"MID IMPACT",
    ABS(Fuel_prices[[#This Row],[%_change]])&lt;=5,"LITTLE IMPACT"
)</f>
        <v>LITTLE IMPACT</v>
      </c>
    </row>
    <row r="96" spans="1:9" x14ac:dyDescent="0.25">
      <c r="A96" s="4">
        <v>28430</v>
      </c>
      <c r="B96" s="6" t="str">
        <f>_xlfn.CONCAT("Q",CEILING(Fuel_prices[[#This Row],[Month]]/3,1))</f>
        <v>Q4</v>
      </c>
      <c r="C96" s="6">
        <f>MONTH(Fuel_prices[[#This Row],[Date]])</f>
        <v>11</v>
      </c>
      <c r="D96" s="6" t="str">
        <f>TEXT(Fuel_prices[[#This Row],[Date]],"mmm")</f>
        <v>Nov</v>
      </c>
      <c r="E96" s="6">
        <f>YEAR(Fuel_prices[[#This Row],[Date]])</f>
        <v>1977</v>
      </c>
      <c r="F96" s="5">
        <v>12.68000030518</v>
      </c>
      <c r="G96" s="2">
        <f ca="1">ROUND(IFERROR((Fuel_prices[[#This Row],[Crude_Oil_Price]]-OFFSET(Fuel_prices[[#This Row],[Crude_Oil_Price]],-1,0)),0),2)</f>
        <v>0</v>
      </c>
      <c r="H96" s="2">
        <f ca="1">ROUND((IFERROR((Fuel_prices[[#This Row],[Crude_Oil_Price]]-OFFSET(Fuel_prices[[#This Row],[Crude_Oil_Price]],-1,0))/(OFFSET(Fuel_prices[[#This Row],[Crude_Oil_Price]],-1,0)),0))*100,2)</f>
        <v>0</v>
      </c>
      <c r="I96" s="2" t="str" cm="1">
        <f t="array" aca="1" ref="I96" ca="1">_xlfn.IFS(
    ABS(Fuel_prices[[#This Row],[%_change]])&gt;50,"SEVERE IMPACT",
    ABS(Fuel_prices[[#This Row],[%_change]])&gt;25,"HIGH IMPACT",
    ABS(Fuel_prices[[#This Row],[%_change]])&gt;5,"MID IMPACT",
    ABS(Fuel_prices[[#This Row],[%_change]])&lt;=5,"LITTLE IMPACT"
)</f>
        <v>LITTLE IMPACT</v>
      </c>
    </row>
    <row r="97" spans="1:9" x14ac:dyDescent="0.25">
      <c r="A97" s="4">
        <v>28460</v>
      </c>
      <c r="B97" s="6" t="str">
        <f>_xlfn.CONCAT("Q",CEILING(Fuel_prices[[#This Row],[Month]]/3,1))</f>
        <v>Q4</v>
      </c>
      <c r="C97" s="6">
        <f>MONTH(Fuel_prices[[#This Row],[Date]])</f>
        <v>12</v>
      </c>
      <c r="D97" s="6" t="str">
        <f>TEXT(Fuel_prices[[#This Row],[Date]],"mmm")</f>
        <v>Dec</v>
      </c>
      <c r="E97" s="6">
        <f>YEAR(Fuel_prices[[#This Row],[Date]])</f>
        <v>1977</v>
      </c>
      <c r="F97" s="5">
        <v>12.68000030518</v>
      </c>
      <c r="G97" s="2">
        <f ca="1">ROUND(IFERROR((Fuel_prices[[#This Row],[Crude_Oil_Price]]-OFFSET(Fuel_prices[[#This Row],[Crude_Oil_Price]],-1,0)),0),2)</f>
        <v>0</v>
      </c>
      <c r="H97" s="2">
        <f ca="1">ROUND((IFERROR((Fuel_prices[[#This Row],[Crude_Oil_Price]]-OFFSET(Fuel_prices[[#This Row],[Crude_Oil_Price]],-1,0))/(OFFSET(Fuel_prices[[#This Row],[Crude_Oil_Price]],-1,0)),0))*100,2)</f>
        <v>0</v>
      </c>
      <c r="I97" s="2" t="str" cm="1">
        <f t="array" aca="1" ref="I97" ca="1">_xlfn.IFS(
    ABS(Fuel_prices[[#This Row],[%_change]])&gt;50,"SEVERE IMPACT",
    ABS(Fuel_prices[[#This Row],[%_change]])&gt;25,"HIGH IMPACT",
    ABS(Fuel_prices[[#This Row],[%_change]])&gt;5,"MID IMPACT",
    ABS(Fuel_prices[[#This Row],[%_change]])&lt;=5,"LITTLE IMPACT"
)</f>
        <v>LITTLE IMPACT</v>
      </c>
    </row>
    <row r="98" spans="1:9" x14ac:dyDescent="0.25">
      <c r="A98" s="4">
        <v>28491</v>
      </c>
      <c r="B98" s="6" t="str">
        <f>_xlfn.CONCAT("Q",CEILING(Fuel_prices[[#This Row],[Month]]/3,1))</f>
        <v>Q1</v>
      </c>
      <c r="C98" s="6">
        <f>MONTH(Fuel_prices[[#This Row],[Date]])</f>
        <v>1</v>
      </c>
      <c r="D98" s="6" t="str">
        <f>TEXT(Fuel_prices[[#This Row],[Date]],"mmm")</f>
        <v>Jan</v>
      </c>
      <c r="E98" s="6">
        <f>YEAR(Fuel_prices[[#This Row],[Date]])</f>
        <v>1978</v>
      </c>
      <c r="F98" s="5">
        <v>12.659999847410001</v>
      </c>
      <c r="G98" s="2">
        <f ca="1">ROUND(IFERROR((Fuel_prices[[#This Row],[Crude_Oil_Price]]-OFFSET(Fuel_prices[[#This Row],[Crude_Oil_Price]],-1,0)),0),2)</f>
        <v>-0.02</v>
      </c>
      <c r="H98" s="2">
        <f ca="1">ROUND((IFERROR((Fuel_prices[[#This Row],[Crude_Oil_Price]]-OFFSET(Fuel_prices[[#This Row],[Crude_Oil_Price]],-1,0))/(OFFSET(Fuel_prices[[#This Row],[Crude_Oil_Price]],-1,0)),0))*100,2)</f>
        <v>-0.16</v>
      </c>
      <c r="I98" s="2" t="str" cm="1">
        <f t="array" aca="1" ref="I98" ca="1">_xlfn.IFS(
    ABS(Fuel_prices[[#This Row],[%_change]])&gt;50,"SEVERE IMPACT",
    ABS(Fuel_prices[[#This Row],[%_change]])&gt;25,"HIGH IMPACT",
    ABS(Fuel_prices[[#This Row],[%_change]])&gt;5,"MID IMPACT",
    ABS(Fuel_prices[[#This Row],[%_change]])&lt;=5,"LITTLE IMPACT"
)</f>
        <v>LITTLE IMPACT</v>
      </c>
    </row>
    <row r="99" spans="1:9" x14ac:dyDescent="0.25">
      <c r="A99" s="4">
        <v>28522</v>
      </c>
      <c r="B99" s="6" t="str">
        <f>_xlfn.CONCAT("Q",CEILING(Fuel_prices[[#This Row],[Month]]/3,1))</f>
        <v>Q1</v>
      </c>
      <c r="C99" s="6">
        <f>MONTH(Fuel_prices[[#This Row],[Date]])</f>
        <v>2</v>
      </c>
      <c r="D99" s="6" t="str">
        <f>TEXT(Fuel_prices[[#This Row],[Date]],"mmm")</f>
        <v>Feb</v>
      </c>
      <c r="E99" s="6">
        <f>YEAR(Fuel_prices[[#This Row],[Date]])</f>
        <v>1978</v>
      </c>
      <c r="F99" s="5">
        <v>12.659999847410001</v>
      </c>
      <c r="G99" s="2">
        <f ca="1">ROUND(IFERROR((Fuel_prices[[#This Row],[Crude_Oil_Price]]-OFFSET(Fuel_prices[[#This Row],[Crude_Oil_Price]],-1,0)),0),2)</f>
        <v>0</v>
      </c>
      <c r="H99" s="2">
        <f ca="1">ROUND((IFERROR((Fuel_prices[[#This Row],[Crude_Oil_Price]]-OFFSET(Fuel_prices[[#This Row],[Crude_Oil_Price]],-1,0))/(OFFSET(Fuel_prices[[#This Row],[Crude_Oil_Price]],-1,0)),0))*100,2)</f>
        <v>0</v>
      </c>
      <c r="I99" s="2" t="str" cm="1">
        <f t="array" aca="1" ref="I99" ca="1">_xlfn.IFS(
    ABS(Fuel_prices[[#This Row],[%_change]])&gt;50,"SEVERE IMPACT",
    ABS(Fuel_prices[[#This Row],[%_change]])&gt;25,"HIGH IMPACT",
    ABS(Fuel_prices[[#This Row],[%_change]])&gt;5,"MID IMPACT",
    ABS(Fuel_prices[[#This Row],[%_change]])&lt;=5,"LITTLE IMPACT"
)</f>
        <v>LITTLE IMPACT</v>
      </c>
    </row>
    <row r="100" spans="1:9" x14ac:dyDescent="0.25">
      <c r="A100" s="4">
        <v>28550</v>
      </c>
      <c r="B100" s="6" t="str">
        <f>_xlfn.CONCAT("Q",CEILING(Fuel_prices[[#This Row],[Month]]/3,1))</f>
        <v>Q1</v>
      </c>
      <c r="C100" s="6">
        <f>MONTH(Fuel_prices[[#This Row],[Date]])</f>
        <v>3</v>
      </c>
      <c r="D100" s="6" t="str">
        <f>TEXT(Fuel_prices[[#This Row],[Date]],"mmm")</f>
        <v>Mar</v>
      </c>
      <c r="E100" s="6">
        <f>YEAR(Fuel_prices[[#This Row],[Date]])</f>
        <v>1978</v>
      </c>
      <c r="F100" s="5">
        <v>12.659999847410001</v>
      </c>
      <c r="G100" s="2">
        <f ca="1">ROUND(IFERROR((Fuel_prices[[#This Row],[Crude_Oil_Price]]-OFFSET(Fuel_prices[[#This Row],[Crude_Oil_Price]],-1,0)),0),2)</f>
        <v>0</v>
      </c>
      <c r="H100" s="2">
        <f ca="1">ROUND((IFERROR((Fuel_prices[[#This Row],[Crude_Oil_Price]]-OFFSET(Fuel_prices[[#This Row],[Crude_Oil_Price]],-1,0))/(OFFSET(Fuel_prices[[#This Row],[Crude_Oil_Price]],-1,0)),0))*100,2)</f>
        <v>0</v>
      </c>
      <c r="I100" s="2" t="str" cm="1">
        <f t="array" aca="1" ref="I100" ca="1">_xlfn.IFS(
    ABS(Fuel_prices[[#This Row],[%_change]])&gt;50,"SEVERE IMPACT",
    ABS(Fuel_prices[[#This Row],[%_change]])&gt;25,"HIGH IMPACT",
    ABS(Fuel_prices[[#This Row],[%_change]])&gt;5,"MID IMPACT",
    ABS(Fuel_prices[[#This Row],[%_change]])&lt;=5,"LITTLE IMPACT"
)</f>
        <v>LITTLE IMPACT</v>
      </c>
    </row>
    <row r="101" spans="1:9" x14ac:dyDescent="0.25">
      <c r="A101" s="4">
        <v>28581</v>
      </c>
      <c r="B101" s="6" t="str">
        <f>_xlfn.CONCAT("Q",CEILING(Fuel_prices[[#This Row],[Month]]/3,1))</f>
        <v>Q2</v>
      </c>
      <c r="C101" s="6">
        <f>MONTH(Fuel_prices[[#This Row],[Date]])</f>
        <v>4</v>
      </c>
      <c r="D101" s="6" t="str">
        <f>TEXT(Fuel_prices[[#This Row],[Date]],"mmm")</f>
        <v>Apr</v>
      </c>
      <c r="E101" s="6">
        <f>YEAR(Fuel_prices[[#This Row],[Date]])</f>
        <v>1978</v>
      </c>
      <c r="F101" s="5">
        <v>12.68000030518</v>
      </c>
      <c r="G101" s="2">
        <f ca="1">ROUND(IFERROR((Fuel_prices[[#This Row],[Crude_Oil_Price]]-OFFSET(Fuel_prices[[#This Row],[Crude_Oil_Price]],-1,0)),0),2)</f>
        <v>0.02</v>
      </c>
      <c r="H101" s="2">
        <f ca="1">ROUND((IFERROR((Fuel_prices[[#This Row],[Crude_Oil_Price]]-OFFSET(Fuel_prices[[#This Row],[Crude_Oil_Price]],-1,0))/(OFFSET(Fuel_prices[[#This Row],[Crude_Oil_Price]],-1,0)),0))*100,2)</f>
        <v>0.16</v>
      </c>
      <c r="I101" s="2" t="str" cm="1">
        <f t="array" aca="1" ref="I101" ca="1">_xlfn.IFS(
    ABS(Fuel_prices[[#This Row],[%_change]])&gt;50,"SEVERE IMPACT",
    ABS(Fuel_prices[[#This Row],[%_change]])&gt;25,"HIGH IMPACT",
    ABS(Fuel_prices[[#This Row],[%_change]])&gt;5,"MID IMPACT",
    ABS(Fuel_prices[[#This Row],[%_change]])&lt;=5,"LITTLE IMPACT"
)</f>
        <v>LITTLE IMPACT</v>
      </c>
    </row>
    <row r="102" spans="1:9" x14ac:dyDescent="0.25">
      <c r="A102" s="4">
        <v>28611</v>
      </c>
      <c r="B102" s="6" t="str">
        <f>_xlfn.CONCAT("Q",CEILING(Fuel_prices[[#This Row],[Month]]/3,1))</f>
        <v>Q2</v>
      </c>
      <c r="C102" s="6">
        <f>MONTH(Fuel_prices[[#This Row],[Date]])</f>
        <v>5</v>
      </c>
      <c r="D102" s="6" t="str">
        <f>TEXT(Fuel_prices[[#This Row],[Date]],"mmm")</f>
        <v>May</v>
      </c>
      <c r="E102" s="6">
        <f>YEAR(Fuel_prices[[#This Row],[Date]])</f>
        <v>1978</v>
      </c>
      <c r="F102" s="5">
        <v>12.69999980927</v>
      </c>
      <c r="G102" s="2">
        <f ca="1">ROUND(IFERROR((Fuel_prices[[#This Row],[Crude_Oil_Price]]-OFFSET(Fuel_prices[[#This Row],[Crude_Oil_Price]],-1,0)),0),2)</f>
        <v>0.02</v>
      </c>
      <c r="H102" s="2">
        <f ca="1">ROUND((IFERROR((Fuel_prices[[#This Row],[Crude_Oil_Price]]-OFFSET(Fuel_prices[[#This Row],[Crude_Oil_Price]],-1,0))/(OFFSET(Fuel_prices[[#This Row],[Crude_Oil_Price]],-1,0)),0))*100,2)</f>
        <v>0.16</v>
      </c>
      <c r="I102" s="2" t="str" cm="1">
        <f t="array" aca="1" ref="I102" ca="1">_xlfn.IFS(
    ABS(Fuel_prices[[#This Row],[%_change]])&gt;50,"SEVERE IMPACT",
    ABS(Fuel_prices[[#This Row],[%_change]])&gt;25,"HIGH IMPACT",
    ABS(Fuel_prices[[#This Row],[%_change]])&gt;5,"MID IMPACT",
    ABS(Fuel_prices[[#This Row],[%_change]])&lt;=5,"LITTLE IMPACT"
)</f>
        <v>LITTLE IMPACT</v>
      </c>
    </row>
    <row r="103" spans="1:9" x14ac:dyDescent="0.25">
      <c r="A103" s="4">
        <v>28642</v>
      </c>
      <c r="B103" s="6" t="str">
        <f>_xlfn.CONCAT("Q",CEILING(Fuel_prices[[#This Row],[Month]]/3,1))</f>
        <v>Q2</v>
      </c>
      <c r="C103" s="6">
        <f>MONTH(Fuel_prices[[#This Row],[Date]])</f>
        <v>6</v>
      </c>
      <c r="D103" s="6" t="str">
        <f>TEXT(Fuel_prices[[#This Row],[Date]],"mmm")</f>
        <v>Jun</v>
      </c>
      <c r="E103" s="6">
        <f>YEAR(Fuel_prices[[#This Row],[Date]])</f>
        <v>1978</v>
      </c>
      <c r="F103" s="5">
        <v>12.72999954224</v>
      </c>
      <c r="G103" s="2">
        <f ca="1">ROUND(IFERROR((Fuel_prices[[#This Row],[Crude_Oil_Price]]-OFFSET(Fuel_prices[[#This Row],[Crude_Oil_Price]],-1,0)),0),2)</f>
        <v>0.03</v>
      </c>
      <c r="H103" s="2">
        <f ca="1">ROUND((IFERROR((Fuel_prices[[#This Row],[Crude_Oil_Price]]-OFFSET(Fuel_prices[[#This Row],[Crude_Oil_Price]],-1,0))/(OFFSET(Fuel_prices[[#This Row],[Crude_Oil_Price]],-1,0)),0))*100,2)</f>
        <v>0.24</v>
      </c>
      <c r="I103" s="2" t="str" cm="1">
        <f t="array" aca="1" ref="I103" ca="1">_xlfn.IFS(
    ABS(Fuel_prices[[#This Row],[%_change]])&gt;50,"SEVERE IMPACT",
    ABS(Fuel_prices[[#This Row],[%_change]])&gt;25,"HIGH IMPACT",
    ABS(Fuel_prices[[#This Row],[%_change]])&gt;5,"MID IMPACT",
    ABS(Fuel_prices[[#This Row],[%_change]])&lt;=5,"LITTLE IMPACT"
)</f>
        <v>LITTLE IMPACT</v>
      </c>
    </row>
    <row r="104" spans="1:9" x14ac:dyDescent="0.25">
      <c r="A104" s="4">
        <v>28672</v>
      </c>
      <c r="B104" s="6" t="str">
        <f>_xlfn.CONCAT("Q",CEILING(Fuel_prices[[#This Row],[Month]]/3,1))</f>
        <v>Q3</v>
      </c>
      <c r="C104" s="6">
        <f>MONTH(Fuel_prices[[#This Row],[Date]])</f>
        <v>7</v>
      </c>
      <c r="D104" s="6" t="str">
        <f>TEXT(Fuel_prices[[#This Row],[Date]],"mmm")</f>
        <v>Jul</v>
      </c>
      <c r="E104" s="6">
        <f>YEAR(Fuel_prices[[#This Row],[Date]])</f>
        <v>1978</v>
      </c>
      <c r="F104" s="5">
        <v>12.77000045776</v>
      </c>
      <c r="G104" s="2">
        <f ca="1">ROUND(IFERROR((Fuel_prices[[#This Row],[Crude_Oil_Price]]-OFFSET(Fuel_prices[[#This Row],[Crude_Oil_Price]],-1,0)),0),2)</f>
        <v>0.04</v>
      </c>
      <c r="H104" s="2">
        <f ca="1">ROUND((IFERROR((Fuel_prices[[#This Row],[Crude_Oil_Price]]-OFFSET(Fuel_prices[[#This Row],[Crude_Oil_Price]],-1,0))/(OFFSET(Fuel_prices[[#This Row],[Crude_Oil_Price]],-1,0)),0))*100,2)</f>
        <v>0.31</v>
      </c>
      <c r="I104" s="2" t="str" cm="1">
        <f t="array" aca="1" ref="I104" ca="1">_xlfn.IFS(
    ABS(Fuel_prices[[#This Row],[%_change]])&gt;50,"SEVERE IMPACT",
    ABS(Fuel_prices[[#This Row],[%_change]])&gt;25,"HIGH IMPACT",
    ABS(Fuel_prices[[#This Row],[%_change]])&gt;5,"MID IMPACT",
    ABS(Fuel_prices[[#This Row],[%_change]])&lt;=5,"LITTLE IMPACT"
)</f>
        <v>LITTLE IMPACT</v>
      </c>
    </row>
    <row r="105" spans="1:9" x14ac:dyDescent="0.25">
      <c r="A105" s="4">
        <v>28703</v>
      </c>
      <c r="B105" s="6" t="str">
        <f>_xlfn.CONCAT("Q",CEILING(Fuel_prices[[#This Row],[Month]]/3,1))</f>
        <v>Q3</v>
      </c>
      <c r="C105" s="6">
        <f>MONTH(Fuel_prices[[#This Row],[Date]])</f>
        <v>8</v>
      </c>
      <c r="D105" s="6" t="str">
        <f>TEXT(Fuel_prices[[#This Row],[Date]],"mmm")</f>
        <v>Aug</v>
      </c>
      <c r="E105" s="6">
        <f>YEAR(Fuel_prices[[#This Row],[Date]])</f>
        <v>1978</v>
      </c>
      <c r="F105" s="5">
        <v>12.78999996185</v>
      </c>
      <c r="G105" s="2">
        <f ca="1">ROUND(IFERROR((Fuel_prices[[#This Row],[Crude_Oil_Price]]-OFFSET(Fuel_prices[[#This Row],[Crude_Oil_Price]],-1,0)),0),2)</f>
        <v>0.02</v>
      </c>
      <c r="H105" s="2">
        <f ca="1">ROUND((IFERROR((Fuel_prices[[#This Row],[Crude_Oil_Price]]-OFFSET(Fuel_prices[[#This Row],[Crude_Oil_Price]],-1,0))/(OFFSET(Fuel_prices[[#This Row],[Crude_Oil_Price]],-1,0)),0))*100,2)</f>
        <v>0.16</v>
      </c>
      <c r="I105" s="2" t="str" cm="1">
        <f t="array" aca="1" ref="I105" ca="1">_xlfn.IFS(
    ABS(Fuel_prices[[#This Row],[%_change]])&gt;50,"SEVERE IMPACT",
    ABS(Fuel_prices[[#This Row],[%_change]])&gt;25,"HIGH IMPACT",
    ABS(Fuel_prices[[#This Row],[%_change]])&gt;5,"MID IMPACT",
    ABS(Fuel_prices[[#This Row],[%_change]])&lt;=5,"LITTLE IMPACT"
)</f>
        <v>LITTLE IMPACT</v>
      </c>
    </row>
    <row r="106" spans="1:9" x14ac:dyDescent="0.25">
      <c r="A106" s="4">
        <v>28734</v>
      </c>
      <c r="B106" s="6" t="str">
        <f>_xlfn.CONCAT("Q",CEILING(Fuel_prices[[#This Row],[Month]]/3,1))</f>
        <v>Q3</v>
      </c>
      <c r="C106" s="6">
        <f>MONTH(Fuel_prices[[#This Row],[Date]])</f>
        <v>9</v>
      </c>
      <c r="D106" s="6" t="str">
        <f>TEXT(Fuel_prices[[#This Row],[Date]],"mmm")</f>
        <v>Sep</v>
      </c>
      <c r="E106" s="6">
        <f>YEAR(Fuel_prices[[#This Row],[Date]])</f>
        <v>1978</v>
      </c>
      <c r="F106" s="5">
        <v>12.80000019073</v>
      </c>
      <c r="G106" s="2">
        <f ca="1">ROUND(IFERROR((Fuel_prices[[#This Row],[Crude_Oil_Price]]-OFFSET(Fuel_prices[[#This Row],[Crude_Oil_Price]],-1,0)),0),2)</f>
        <v>0.01</v>
      </c>
      <c r="H106" s="2">
        <f ca="1">ROUND((IFERROR((Fuel_prices[[#This Row],[Crude_Oil_Price]]-OFFSET(Fuel_prices[[#This Row],[Crude_Oil_Price]],-1,0))/(OFFSET(Fuel_prices[[#This Row],[Crude_Oil_Price]],-1,0)),0))*100,2)</f>
        <v>0.08</v>
      </c>
      <c r="I106" s="2" t="str" cm="1">
        <f t="array" aca="1" ref="I106" ca="1">_xlfn.IFS(
    ABS(Fuel_prices[[#This Row],[%_change]])&gt;50,"SEVERE IMPACT",
    ABS(Fuel_prices[[#This Row],[%_change]])&gt;25,"HIGH IMPACT",
    ABS(Fuel_prices[[#This Row],[%_change]])&gt;5,"MID IMPACT",
    ABS(Fuel_prices[[#This Row],[%_change]])&lt;=5,"LITTLE IMPACT"
)</f>
        <v>LITTLE IMPACT</v>
      </c>
    </row>
    <row r="107" spans="1:9" x14ac:dyDescent="0.25">
      <c r="A107" s="4">
        <v>28764</v>
      </c>
      <c r="B107" s="6" t="str">
        <f>_xlfn.CONCAT("Q",CEILING(Fuel_prices[[#This Row],[Month]]/3,1))</f>
        <v>Q4</v>
      </c>
      <c r="C107" s="6">
        <f>MONTH(Fuel_prices[[#This Row],[Date]])</f>
        <v>10</v>
      </c>
      <c r="D107" s="6" t="str">
        <f>TEXT(Fuel_prices[[#This Row],[Date]],"mmm")</f>
        <v>Oct</v>
      </c>
      <c r="E107" s="6">
        <f>YEAR(Fuel_prices[[#This Row],[Date]])</f>
        <v>1978</v>
      </c>
      <c r="F107" s="5">
        <v>12.85000038147</v>
      </c>
      <c r="G107" s="2">
        <f ca="1">ROUND(IFERROR((Fuel_prices[[#This Row],[Crude_Oil_Price]]-OFFSET(Fuel_prices[[#This Row],[Crude_Oil_Price]],-1,0)),0),2)</f>
        <v>0.05</v>
      </c>
      <c r="H107" s="2">
        <f ca="1">ROUND((IFERROR((Fuel_prices[[#This Row],[Crude_Oil_Price]]-OFFSET(Fuel_prices[[#This Row],[Crude_Oil_Price]],-1,0))/(OFFSET(Fuel_prices[[#This Row],[Crude_Oil_Price]],-1,0)),0))*100,2)</f>
        <v>0.39</v>
      </c>
      <c r="I107" s="2" t="str" cm="1">
        <f t="array" aca="1" ref="I107" ca="1">_xlfn.IFS(
    ABS(Fuel_prices[[#This Row],[%_change]])&gt;50,"SEVERE IMPACT",
    ABS(Fuel_prices[[#This Row],[%_change]])&gt;25,"HIGH IMPACT",
    ABS(Fuel_prices[[#This Row],[%_change]])&gt;5,"MID IMPACT",
    ABS(Fuel_prices[[#This Row],[%_change]])&lt;=5,"LITTLE IMPACT"
)</f>
        <v>LITTLE IMPACT</v>
      </c>
    </row>
    <row r="108" spans="1:9" x14ac:dyDescent="0.25">
      <c r="A108" s="4">
        <v>28795</v>
      </c>
      <c r="B108" s="6" t="str">
        <f>_xlfn.CONCAT("Q",CEILING(Fuel_prices[[#This Row],[Month]]/3,1))</f>
        <v>Q4</v>
      </c>
      <c r="C108" s="6">
        <f>MONTH(Fuel_prices[[#This Row],[Date]])</f>
        <v>11</v>
      </c>
      <c r="D108" s="6" t="str">
        <f>TEXT(Fuel_prices[[#This Row],[Date]],"mmm")</f>
        <v>Nov</v>
      </c>
      <c r="E108" s="6">
        <f>YEAR(Fuel_prices[[#This Row],[Date]])</f>
        <v>1978</v>
      </c>
      <c r="F108" s="5">
        <v>13.19999980927</v>
      </c>
      <c r="G108" s="2">
        <f ca="1">ROUND(IFERROR((Fuel_prices[[#This Row],[Crude_Oil_Price]]-OFFSET(Fuel_prices[[#This Row],[Crude_Oil_Price]],-1,0)),0),2)</f>
        <v>0.35</v>
      </c>
      <c r="H108" s="2">
        <f ca="1">ROUND((IFERROR((Fuel_prices[[#This Row],[Crude_Oil_Price]]-OFFSET(Fuel_prices[[#This Row],[Crude_Oil_Price]],-1,0))/(OFFSET(Fuel_prices[[#This Row],[Crude_Oil_Price]],-1,0)),0))*100,2)</f>
        <v>2.72</v>
      </c>
      <c r="I108" s="2" t="str" cm="1">
        <f t="array" aca="1" ref="I108" ca="1">_xlfn.IFS(
    ABS(Fuel_prices[[#This Row],[%_change]])&gt;50,"SEVERE IMPACT",
    ABS(Fuel_prices[[#This Row],[%_change]])&gt;25,"HIGH IMPACT",
    ABS(Fuel_prices[[#This Row],[%_change]])&gt;5,"MID IMPACT",
    ABS(Fuel_prices[[#This Row],[%_change]])&lt;=5,"LITTLE IMPACT"
)</f>
        <v>LITTLE IMPACT</v>
      </c>
    </row>
    <row r="109" spans="1:9" x14ac:dyDescent="0.25">
      <c r="A109" s="4">
        <v>28825</v>
      </c>
      <c r="B109" s="6" t="str">
        <f>_xlfn.CONCAT("Q",CEILING(Fuel_prices[[#This Row],[Month]]/3,1))</f>
        <v>Q4</v>
      </c>
      <c r="C109" s="6">
        <f>MONTH(Fuel_prices[[#This Row],[Date]])</f>
        <v>12</v>
      </c>
      <c r="D109" s="6" t="str">
        <f>TEXT(Fuel_prices[[#This Row],[Date]],"mmm")</f>
        <v>Dec</v>
      </c>
      <c r="E109" s="6">
        <f>YEAR(Fuel_prices[[#This Row],[Date]])</f>
        <v>1978</v>
      </c>
      <c r="F109" s="5">
        <v>14.5</v>
      </c>
      <c r="G109" s="2">
        <f ca="1">ROUND(IFERROR((Fuel_prices[[#This Row],[Crude_Oil_Price]]-OFFSET(Fuel_prices[[#This Row],[Crude_Oil_Price]],-1,0)),0),2)</f>
        <v>1.3</v>
      </c>
      <c r="H109" s="2">
        <f ca="1">ROUND((IFERROR((Fuel_prices[[#This Row],[Crude_Oil_Price]]-OFFSET(Fuel_prices[[#This Row],[Crude_Oil_Price]],-1,0))/(OFFSET(Fuel_prices[[#This Row],[Crude_Oil_Price]],-1,0)),0))*100,2)</f>
        <v>9.85</v>
      </c>
      <c r="I109" s="2" t="str" cm="1">
        <f t="array" aca="1" ref="I109" ca="1">_xlfn.IFS(
    ABS(Fuel_prices[[#This Row],[%_change]])&gt;50,"SEVERE IMPACT",
    ABS(Fuel_prices[[#This Row],[%_change]])&gt;25,"HIGH IMPACT",
    ABS(Fuel_prices[[#This Row],[%_change]])&gt;5,"MID IMPACT",
    ABS(Fuel_prices[[#This Row],[%_change]])&lt;=5,"LITTLE IMPACT"
)</f>
        <v>MID IMPACT</v>
      </c>
    </row>
    <row r="110" spans="1:9" x14ac:dyDescent="0.25">
      <c r="A110" s="4">
        <v>28856</v>
      </c>
      <c r="B110" s="6" t="str">
        <f>_xlfn.CONCAT("Q",CEILING(Fuel_prices[[#This Row],[Month]]/3,1))</f>
        <v>Q1</v>
      </c>
      <c r="C110" s="6">
        <f>MONTH(Fuel_prices[[#This Row],[Date]])</f>
        <v>1</v>
      </c>
      <c r="D110" s="6" t="str">
        <f>TEXT(Fuel_prices[[#This Row],[Date]],"mmm")</f>
        <v>Jan</v>
      </c>
      <c r="E110" s="6">
        <f>YEAR(Fuel_prices[[#This Row],[Date]])</f>
        <v>1979</v>
      </c>
      <c r="F110" s="5">
        <v>17.4500002861</v>
      </c>
      <c r="G110" s="2">
        <f ca="1">ROUND(IFERROR((Fuel_prices[[#This Row],[Crude_Oil_Price]]-OFFSET(Fuel_prices[[#This Row],[Crude_Oil_Price]],-1,0)),0),2)</f>
        <v>2.95</v>
      </c>
      <c r="H110" s="2">
        <f ca="1">ROUND((IFERROR((Fuel_prices[[#This Row],[Crude_Oil_Price]]-OFFSET(Fuel_prices[[#This Row],[Crude_Oil_Price]],-1,0))/(OFFSET(Fuel_prices[[#This Row],[Crude_Oil_Price]],-1,0)),0))*100,2)</f>
        <v>20.34</v>
      </c>
      <c r="I110" s="2" t="str" cm="1">
        <f t="array" aca="1" ref="I110" ca="1">_xlfn.IFS(
    ABS(Fuel_prices[[#This Row],[%_change]])&gt;50,"SEVERE IMPACT",
    ABS(Fuel_prices[[#This Row],[%_change]])&gt;25,"HIGH IMPACT",
    ABS(Fuel_prices[[#This Row],[%_change]])&gt;5,"MID IMPACT",
    ABS(Fuel_prices[[#This Row],[%_change]])&lt;=5,"LITTLE IMPACT"
)</f>
        <v>MID IMPACT</v>
      </c>
    </row>
    <row r="111" spans="1:9" x14ac:dyDescent="0.25">
      <c r="A111" s="4">
        <v>28887</v>
      </c>
      <c r="B111" s="6" t="str">
        <f>_xlfn.CONCAT("Q",CEILING(Fuel_prices[[#This Row],[Month]]/3,1))</f>
        <v>Q1</v>
      </c>
      <c r="C111" s="6">
        <f>MONTH(Fuel_prices[[#This Row],[Date]])</f>
        <v>2</v>
      </c>
      <c r="D111" s="6" t="str">
        <f>TEXT(Fuel_prices[[#This Row],[Date]],"mmm")</f>
        <v>Feb</v>
      </c>
      <c r="E111" s="6">
        <f>YEAR(Fuel_prices[[#This Row],[Date]])</f>
        <v>1979</v>
      </c>
      <c r="F111" s="5">
        <v>20.75</v>
      </c>
      <c r="G111" s="2">
        <f ca="1">ROUND(IFERROR((Fuel_prices[[#This Row],[Crude_Oil_Price]]-OFFSET(Fuel_prices[[#This Row],[Crude_Oil_Price]],-1,0)),0),2)</f>
        <v>3.3</v>
      </c>
      <c r="H111" s="2">
        <f ca="1">ROUND((IFERROR((Fuel_prices[[#This Row],[Crude_Oil_Price]]-OFFSET(Fuel_prices[[#This Row],[Crude_Oil_Price]],-1,0))/(OFFSET(Fuel_prices[[#This Row],[Crude_Oil_Price]],-1,0)),0))*100,2)</f>
        <v>18.91</v>
      </c>
      <c r="I111" s="2" t="str" cm="1">
        <f t="array" aca="1" ref="I111" ca="1">_xlfn.IFS(
    ABS(Fuel_prices[[#This Row],[%_change]])&gt;50,"SEVERE IMPACT",
    ABS(Fuel_prices[[#This Row],[%_change]])&gt;25,"HIGH IMPACT",
    ABS(Fuel_prices[[#This Row],[%_change]])&gt;5,"MID IMPACT",
    ABS(Fuel_prices[[#This Row],[%_change]])&lt;=5,"LITTLE IMPACT"
)</f>
        <v>MID IMPACT</v>
      </c>
    </row>
    <row r="112" spans="1:9" x14ac:dyDescent="0.25">
      <c r="A112" s="4">
        <v>28915</v>
      </c>
      <c r="B112" s="6" t="str">
        <f>_xlfn.CONCAT("Q",CEILING(Fuel_prices[[#This Row],[Month]]/3,1))</f>
        <v>Q1</v>
      </c>
      <c r="C112" s="6">
        <f>MONTH(Fuel_prices[[#This Row],[Date]])</f>
        <v>3</v>
      </c>
      <c r="D112" s="6" t="str">
        <f>TEXT(Fuel_prices[[#This Row],[Date]],"mmm")</f>
        <v>Mar</v>
      </c>
      <c r="E112" s="6">
        <f>YEAR(Fuel_prices[[#This Row],[Date]])</f>
        <v>1979</v>
      </c>
      <c r="F112" s="5">
        <v>22.02499961853</v>
      </c>
      <c r="G112" s="2">
        <f ca="1">ROUND(IFERROR((Fuel_prices[[#This Row],[Crude_Oil_Price]]-OFFSET(Fuel_prices[[#This Row],[Crude_Oil_Price]],-1,0)),0),2)</f>
        <v>1.27</v>
      </c>
      <c r="H112" s="2">
        <f ca="1">ROUND((IFERROR((Fuel_prices[[#This Row],[Crude_Oil_Price]]-OFFSET(Fuel_prices[[#This Row],[Crude_Oil_Price]],-1,0))/(OFFSET(Fuel_prices[[#This Row],[Crude_Oil_Price]],-1,0)),0))*100,2)</f>
        <v>6.14</v>
      </c>
      <c r="I112" s="2" t="str" cm="1">
        <f t="array" aca="1" ref="I112" ca="1">_xlfn.IFS(
    ABS(Fuel_prices[[#This Row],[%_change]])&gt;50,"SEVERE IMPACT",
    ABS(Fuel_prices[[#This Row],[%_change]])&gt;25,"HIGH IMPACT",
    ABS(Fuel_prices[[#This Row],[%_change]])&gt;5,"MID IMPACT",
    ABS(Fuel_prices[[#This Row],[%_change]])&lt;=5,"LITTLE IMPACT"
)</f>
        <v>MID IMPACT</v>
      </c>
    </row>
    <row r="113" spans="1:9" x14ac:dyDescent="0.25">
      <c r="A113" s="4">
        <v>28946</v>
      </c>
      <c r="B113" s="6" t="str">
        <f>_xlfn.CONCAT("Q",CEILING(Fuel_prices[[#This Row],[Month]]/3,1))</f>
        <v>Q2</v>
      </c>
      <c r="C113" s="6">
        <f>MONTH(Fuel_prices[[#This Row],[Date]])</f>
        <v>4</v>
      </c>
      <c r="D113" s="6" t="str">
        <f>TEXT(Fuel_prices[[#This Row],[Date]],"mmm")</f>
        <v>Apr</v>
      </c>
      <c r="E113" s="6">
        <f>YEAR(Fuel_prices[[#This Row],[Date]])</f>
        <v>1979</v>
      </c>
      <c r="F113" s="5">
        <v>22.42500019073</v>
      </c>
      <c r="G113" s="2">
        <f ca="1">ROUND(IFERROR((Fuel_prices[[#This Row],[Crude_Oil_Price]]-OFFSET(Fuel_prices[[#This Row],[Crude_Oil_Price]],-1,0)),0),2)</f>
        <v>0.4</v>
      </c>
      <c r="H113" s="2">
        <f ca="1">ROUND((IFERROR((Fuel_prices[[#This Row],[Crude_Oil_Price]]-OFFSET(Fuel_prices[[#This Row],[Crude_Oil_Price]],-1,0))/(OFFSET(Fuel_prices[[#This Row],[Crude_Oil_Price]],-1,0)),0))*100,2)</f>
        <v>1.82</v>
      </c>
      <c r="I113" s="2" t="str" cm="1">
        <f t="array" aca="1" ref="I113" ca="1">_xlfn.IFS(
    ABS(Fuel_prices[[#This Row],[%_change]])&gt;50,"SEVERE IMPACT",
    ABS(Fuel_prices[[#This Row],[%_change]])&gt;25,"HIGH IMPACT",
    ABS(Fuel_prices[[#This Row],[%_change]])&gt;5,"MID IMPACT",
    ABS(Fuel_prices[[#This Row],[%_change]])&lt;=5,"LITTLE IMPACT"
)</f>
        <v>LITTLE IMPACT</v>
      </c>
    </row>
    <row r="114" spans="1:9" x14ac:dyDescent="0.25">
      <c r="A114" s="4">
        <v>28976</v>
      </c>
      <c r="B114" s="6" t="str">
        <f>_xlfn.CONCAT("Q",CEILING(Fuel_prices[[#This Row],[Month]]/3,1))</f>
        <v>Q2</v>
      </c>
      <c r="C114" s="6">
        <f>MONTH(Fuel_prices[[#This Row],[Date]])</f>
        <v>5</v>
      </c>
      <c r="D114" s="6" t="str">
        <f>TEXT(Fuel_prices[[#This Row],[Date]],"mmm")</f>
        <v>May</v>
      </c>
      <c r="E114" s="6">
        <f>YEAR(Fuel_prices[[#This Row],[Date]])</f>
        <v>1979</v>
      </c>
      <c r="F114" s="5">
        <v>33.5</v>
      </c>
      <c r="G114" s="2">
        <f ca="1">ROUND(IFERROR((Fuel_prices[[#This Row],[Crude_Oil_Price]]-OFFSET(Fuel_prices[[#This Row],[Crude_Oil_Price]],-1,0)),0),2)</f>
        <v>11.07</v>
      </c>
      <c r="H114" s="2">
        <f ca="1">ROUND((IFERROR((Fuel_prices[[#This Row],[Crude_Oil_Price]]-OFFSET(Fuel_prices[[#This Row],[Crude_Oil_Price]],-1,0))/(OFFSET(Fuel_prices[[#This Row],[Crude_Oil_Price]],-1,0)),0))*100,2)</f>
        <v>49.39</v>
      </c>
      <c r="I114" s="2" t="str" cm="1">
        <f t="array" aca="1" ref="I114" ca="1">_xlfn.IFS(
    ABS(Fuel_prices[[#This Row],[%_change]])&gt;50,"SEVERE IMPACT",
    ABS(Fuel_prices[[#This Row],[%_change]])&gt;25,"HIGH IMPACT",
    ABS(Fuel_prices[[#This Row],[%_change]])&gt;5,"MID IMPACT",
    ABS(Fuel_prices[[#This Row],[%_change]])&lt;=5,"LITTLE IMPACT"
)</f>
        <v>HIGH IMPACT</v>
      </c>
    </row>
    <row r="115" spans="1:9" x14ac:dyDescent="0.25">
      <c r="A115" s="4">
        <v>29007</v>
      </c>
      <c r="B115" s="6" t="str">
        <f>_xlfn.CONCAT("Q",CEILING(Fuel_prices[[#This Row],[Month]]/3,1))</f>
        <v>Q2</v>
      </c>
      <c r="C115" s="6">
        <f>MONTH(Fuel_prices[[#This Row],[Date]])</f>
        <v>6</v>
      </c>
      <c r="D115" s="6" t="str">
        <f>TEXT(Fuel_prices[[#This Row],[Date]],"mmm")</f>
        <v>Jun</v>
      </c>
      <c r="E115" s="6">
        <f>YEAR(Fuel_prices[[#This Row],[Date]])</f>
        <v>1979</v>
      </c>
      <c r="F115" s="5">
        <v>34.67499923706</v>
      </c>
      <c r="G115" s="2">
        <f ca="1">ROUND(IFERROR((Fuel_prices[[#This Row],[Crude_Oil_Price]]-OFFSET(Fuel_prices[[#This Row],[Crude_Oil_Price]],-1,0)),0),2)</f>
        <v>1.17</v>
      </c>
      <c r="H115" s="2">
        <f ca="1">ROUND((IFERROR((Fuel_prices[[#This Row],[Crude_Oil_Price]]-OFFSET(Fuel_prices[[#This Row],[Crude_Oil_Price]],-1,0))/(OFFSET(Fuel_prices[[#This Row],[Crude_Oil_Price]],-1,0)),0))*100,2)</f>
        <v>3.51</v>
      </c>
      <c r="I115" s="2" t="str" cm="1">
        <f t="array" aca="1" ref="I115" ca="1">_xlfn.IFS(
    ABS(Fuel_prices[[#This Row],[%_change]])&gt;50,"SEVERE IMPACT",
    ABS(Fuel_prices[[#This Row],[%_change]])&gt;25,"HIGH IMPACT",
    ABS(Fuel_prices[[#This Row],[%_change]])&gt;5,"MID IMPACT",
    ABS(Fuel_prices[[#This Row],[%_change]])&lt;=5,"LITTLE IMPACT"
)</f>
        <v>LITTLE IMPACT</v>
      </c>
    </row>
    <row r="116" spans="1:9" x14ac:dyDescent="0.25">
      <c r="A116" s="4">
        <v>29037</v>
      </c>
      <c r="B116" s="6" t="str">
        <f>_xlfn.CONCAT("Q",CEILING(Fuel_prices[[#This Row],[Month]]/3,1))</f>
        <v>Q3</v>
      </c>
      <c r="C116" s="6">
        <f>MONTH(Fuel_prices[[#This Row],[Date]])</f>
        <v>7</v>
      </c>
      <c r="D116" s="6" t="str">
        <f>TEXT(Fuel_prices[[#This Row],[Date]],"mmm")</f>
        <v>Jul</v>
      </c>
      <c r="E116" s="6">
        <f>YEAR(Fuel_prices[[#This Row],[Date]])</f>
        <v>1979</v>
      </c>
      <c r="F116" s="5">
        <v>33.5</v>
      </c>
      <c r="G116" s="2">
        <f ca="1">ROUND(IFERROR((Fuel_prices[[#This Row],[Crude_Oil_Price]]-OFFSET(Fuel_prices[[#This Row],[Crude_Oil_Price]],-1,0)),0),2)</f>
        <v>-1.17</v>
      </c>
      <c r="H116" s="2">
        <f ca="1">ROUND((IFERROR((Fuel_prices[[#This Row],[Crude_Oil_Price]]-OFFSET(Fuel_prices[[#This Row],[Crude_Oil_Price]],-1,0))/(OFFSET(Fuel_prices[[#This Row],[Crude_Oil_Price]],-1,0)),0))*100,2)</f>
        <v>-3.39</v>
      </c>
      <c r="I116" s="2" t="str" cm="1">
        <f t="array" aca="1" ref="I116" ca="1">_xlfn.IFS(
    ABS(Fuel_prices[[#This Row],[%_change]])&gt;50,"SEVERE IMPACT",
    ABS(Fuel_prices[[#This Row],[%_change]])&gt;25,"HIGH IMPACT",
    ABS(Fuel_prices[[#This Row],[%_change]])&gt;5,"MID IMPACT",
    ABS(Fuel_prices[[#This Row],[%_change]])&lt;=5,"LITTLE IMPACT"
)</f>
        <v>LITTLE IMPACT</v>
      </c>
    </row>
    <row r="117" spans="1:9" x14ac:dyDescent="0.25">
      <c r="A117" s="4">
        <v>29068</v>
      </c>
      <c r="B117" s="6" t="str">
        <f>_xlfn.CONCAT("Q",CEILING(Fuel_prices[[#This Row],[Month]]/3,1))</f>
        <v>Q3</v>
      </c>
      <c r="C117" s="6">
        <f>MONTH(Fuel_prices[[#This Row],[Date]])</f>
        <v>8</v>
      </c>
      <c r="D117" s="6" t="str">
        <f>TEXT(Fuel_prices[[#This Row],[Date]],"mmm")</f>
        <v>Aug</v>
      </c>
      <c r="E117" s="6">
        <f>YEAR(Fuel_prices[[#This Row],[Date]])</f>
        <v>1979</v>
      </c>
      <c r="F117" s="5">
        <v>34</v>
      </c>
      <c r="G117" s="2">
        <f ca="1">ROUND(IFERROR((Fuel_prices[[#This Row],[Crude_Oil_Price]]-OFFSET(Fuel_prices[[#This Row],[Crude_Oil_Price]],-1,0)),0),2)</f>
        <v>0.5</v>
      </c>
      <c r="H117" s="2">
        <f ca="1">ROUND((IFERROR((Fuel_prices[[#This Row],[Crude_Oil_Price]]-OFFSET(Fuel_prices[[#This Row],[Crude_Oil_Price]],-1,0))/(OFFSET(Fuel_prices[[#This Row],[Crude_Oil_Price]],-1,0)),0))*100,2)</f>
        <v>1.49</v>
      </c>
      <c r="I117" s="2" t="str" cm="1">
        <f t="array" aca="1" ref="I117" ca="1">_xlfn.IFS(
    ABS(Fuel_prices[[#This Row],[%_change]])&gt;50,"SEVERE IMPACT",
    ABS(Fuel_prices[[#This Row],[%_change]])&gt;25,"HIGH IMPACT",
    ABS(Fuel_prices[[#This Row],[%_change]])&gt;5,"MID IMPACT",
    ABS(Fuel_prices[[#This Row],[%_change]])&lt;=5,"LITTLE IMPACT"
)</f>
        <v>LITTLE IMPACT</v>
      </c>
    </row>
    <row r="118" spans="1:9" x14ac:dyDescent="0.25">
      <c r="A118" s="4">
        <v>29099</v>
      </c>
      <c r="B118" s="6" t="str">
        <f>_xlfn.CONCAT("Q",CEILING(Fuel_prices[[#This Row],[Month]]/3,1))</f>
        <v>Q3</v>
      </c>
      <c r="C118" s="6">
        <f>MONTH(Fuel_prices[[#This Row],[Date]])</f>
        <v>9</v>
      </c>
      <c r="D118" s="6" t="str">
        <f>TEXT(Fuel_prices[[#This Row],[Date]],"mmm")</f>
        <v>Sep</v>
      </c>
      <c r="E118" s="6">
        <f>YEAR(Fuel_prices[[#This Row],[Date]])</f>
        <v>1979</v>
      </c>
      <c r="F118" s="5">
        <v>35.5</v>
      </c>
      <c r="G118" s="2">
        <f ca="1">ROUND(IFERROR((Fuel_prices[[#This Row],[Crude_Oil_Price]]-OFFSET(Fuel_prices[[#This Row],[Crude_Oil_Price]],-1,0)),0),2)</f>
        <v>1.5</v>
      </c>
      <c r="H118" s="2">
        <f ca="1">ROUND((IFERROR((Fuel_prices[[#This Row],[Crude_Oil_Price]]-OFFSET(Fuel_prices[[#This Row],[Crude_Oil_Price]],-1,0))/(OFFSET(Fuel_prices[[#This Row],[Crude_Oil_Price]],-1,0)),0))*100,2)</f>
        <v>4.41</v>
      </c>
      <c r="I118" s="2" t="str" cm="1">
        <f t="array" aca="1" ref="I118" ca="1">_xlfn.IFS(
    ABS(Fuel_prices[[#This Row],[%_change]])&gt;50,"SEVERE IMPACT",
    ABS(Fuel_prices[[#This Row],[%_change]])&gt;25,"HIGH IMPACT",
    ABS(Fuel_prices[[#This Row],[%_change]])&gt;5,"MID IMPACT",
    ABS(Fuel_prices[[#This Row],[%_change]])&lt;=5,"LITTLE IMPACT"
)</f>
        <v>LITTLE IMPACT</v>
      </c>
    </row>
    <row r="119" spans="1:9" x14ac:dyDescent="0.25">
      <c r="A119" s="4">
        <v>29129</v>
      </c>
      <c r="B119" s="6" t="str">
        <f>_xlfn.CONCAT("Q",CEILING(Fuel_prices[[#This Row],[Month]]/3,1))</f>
        <v>Q4</v>
      </c>
      <c r="C119" s="6">
        <f>MONTH(Fuel_prices[[#This Row],[Date]])</f>
        <v>10</v>
      </c>
      <c r="D119" s="6" t="str">
        <f>TEXT(Fuel_prices[[#This Row],[Date]],"mmm")</f>
        <v>Oct</v>
      </c>
      <c r="E119" s="6">
        <f>YEAR(Fuel_prices[[#This Row],[Date]])</f>
        <v>1979</v>
      </c>
      <c r="F119" s="5">
        <v>37.25</v>
      </c>
      <c r="G119" s="2">
        <f ca="1">ROUND(IFERROR((Fuel_prices[[#This Row],[Crude_Oil_Price]]-OFFSET(Fuel_prices[[#This Row],[Crude_Oil_Price]],-1,0)),0),2)</f>
        <v>1.75</v>
      </c>
      <c r="H119" s="2">
        <f ca="1">ROUND((IFERROR((Fuel_prices[[#This Row],[Crude_Oil_Price]]-OFFSET(Fuel_prices[[#This Row],[Crude_Oil_Price]],-1,0))/(OFFSET(Fuel_prices[[#This Row],[Crude_Oil_Price]],-1,0)),0))*100,2)</f>
        <v>4.93</v>
      </c>
      <c r="I119" s="2" t="str" cm="1">
        <f t="array" aca="1" ref="I119" ca="1">_xlfn.IFS(
    ABS(Fuel_prices[[#This Row],[%_change]])&gt;50,"SEVERE IMPACT",
    ABS(Fuel_prices[[#This Row],[%_change]])&gt;25,"HIGH IMPACT",
    ABS(Fuel_prices[[#This Row],[%_change]])&gt;5,"MID IMPACT",
    ABS(Fuel_prices[[#This Row],[%_change]])&lt;=5,"LITTLE IMPACT"
)</f>
        <v>LITTLE IMPACT</v>
      </c>
    </row>
    <row r="120" spans="1:9" x14ac:dyDescent="0.25">
      <c r="A120" s="4">
        <v>29160</v>
      </c>
      <c r="B120" s="6" t="str">
        <f>_xlfn.CONCAT("Q",CEILING(Fuel_prices[[#This Row],[Month]]/3,1))</f>
        <v>Q4</v>
      </c>
      <c r="C120" s="6">
        <f>MONTH(Fuel_prices[[#This Row],[Date]])</f>
        <v>11</v>
      </c>
      <c r="D120" s="6" t="str">
        <f>TEXT(Fuel_prices[[#This Row],[Date]],"mmm")</f>
        <v>Nov</v>
      </c>
      <c r="E120" s="6">
        <f>YEAR(Fuel_prices[[#This Row],[Date]])</f>
        <v>1979</v>
      </c>
      <c r="F120" s="5">
        <v>40.75</v>
      </c>
      <c r="G120" s="2">
        <f ca="1">ROUND(IFERROR((Fuel_prices[[#This Row],[Crude_Oil_Price]]-OFFSET(Fuel_prices[[#This Row],[Crude_Oil_Price]],-1,0)),0),2)</f>
        <v>3.5</v>
      </c>
      <c r="H120" s="2">
        <f ca="1">ROUND((IFERROR((Fuel_prices[[#This Row],[Crude_Oil_Price]]-OFFSET(Fuel_prices[[#This Row],[Crude_Oil_Price]],-1,0))/(OFFSET(Fuel_prices[[#This Row],[Crude_Oil_Price]],-1,0)),0))*100,2)</f>
        <v>9.4</v>
      </c>
      <c r="I120" s="2" t="str" cm="1">
        <f t="array" aca="1" ref="I120" ca="1">_xlfn.IFS(
    ABS(Fuel_prices[[#This Row],[%_change]])&gt;50,"SEVERE IMPACT",
    ABS(Fuel_prices[[#This Row],[%_change]])&gt;25,"HIGH IMPACT",
    ABS(Fuel_prices[[#This Row],[%_change]])&gt;5,"MID IMPACT",
    ABS(Fuel_prices[[#This Row],[%_change]])&lt;=5,"LITTLE IMPACT"
)</f>
        <v>MID IMPACT</v>
      </c>
    </row>
    <row r="121" spans="1:9" x14ac:dyDescent="0.25">
      <c r="A121" s="4">
        <v>29190</v>
      </c>
      <c r="B121" s="6" t="str">
        <f>_xlfn.CONCAT("Q",CEILING(Fuel_prices[[#This Row],[Month]]/3,1))</f>
        <v>Q4</v>
      </c>
      <c r="C121" s="6">
        <f>MONTH(Fuel_prices[[#This Row],[Date]])</f>
        <v>12</v>
      </c>
      <c r="D121" s="6" t="str">
        <f>TEXT(Fuel_prices[[#This Row],[Date]],"mmm")</f>
        <v>Dec</v>
      </c>
      <c r="E121" s="6">
        <f>YEAR(Fuel_prices[[#This Row],[Date]])</f>
        <v>1979</v>
      </c>
      <c r="F121" s="5">
        <v>39.75</v>
      </c>
      <c r="G121" s="2">
        <f ca="1">ROUND(IFERROR((Fuel_prices[[#This Row],[Crude_Oil_Price]]-OFFSET(Fuel_prices[[#This Row],[Crude_Oil_Price]],-1,0)),0),2)</f>
        <v>-1</v>
      </c>
      <c r="H121" s="2">
        <f ca="1">ROUND((IFERROR((Fuel_prices[[#This Row],[Crude_Oil_Price]]-OFFSET(Fuel_prices[[#This Row],[Crude_Oil_Price]],-1,0))/(OFFSET(Fuel_prices[[#This Row],[Crude_Oil_Price]],-1,0)),0))*100,2)</f>
        <v>-2.4500000000000002</v>
      </c>
      <c r="I121" s="2" t="str" cm="1">
        <f t="array" aca="1" ref="I121" ca="1">_xlfn.IFS(
    ABS(Fuel_prices[[#This Row],[%_change]])&gt;50,"SEVERE IMPACT",
    ABS(Fuel_prices[[#This Row],[%_change]])&gt;25,"HIGH IMPACT",
    ABS(Fuel_prices[[#This Row],[%_change]])&gt;5,"MID IMPACT",
    ABS(Fuel_prices[[#This Row],[%_change]])&lt;=5,"LITTLE IMPACT"
)</f>
        <v>LITTLE IMPACT</v>
      </c>
    </row>
    <row r="122" spans="1:9" x14ac:dyDescent="0.25">
      <c r="A122" s="4">
        <v>29221</v>
      </c>
      <c r="B122" s="6" t="str">
        <f>_xlfn.CONCAT("Q",CEILING(Fuel_prices[[#This Row],[Month]]/3,1))</f>
        <v>Q1</v>
      </c>
      <c r="C122" s="6">
        <f>MONTH(Fuel_prices[[#This Row],[Date]])</f>
        <v>1</v>
      </c>
      <c r="D122" s="6" t="str">
        <f>TEXT(Fuel_prices[[#This Row],[Date]],"mmm")</f>
        <v>Jan</v>
      </c>
      <c r="E122" s="6">
        <f>YEAR(Fuel_prices[[#This Row],[Date]])</f>
        <v>1980</v>
      </c>
      <c r="F122" s="5">
        <v>39</v>
      </c>
      <c r="G122" s="2">
        <f ca="1">ROUND(IFERROR((Fuel_prices[[#This Row],[Crude_Oil_Price]]-OFFSET(Fuel_prices[[#This Row],[Crude_Oil_Price]],-1,0)),0),2)</f>
        <v>-0.75</v>
      </c>
      <c r="H122" s="2">
        <f ca="1">ROUND((IFERROR((Fuel_prices[[#This Row],[Crude_Oil_Price]]-OFFSET(Fuel_prices[[#This Row],[Crude_Oil_Price]],-1,0))/(OFFSET(Fuel_prices[[#This Row],[Crude_Oil_Price]],-1,0)),0))*100,2)</f>
        <v>-1.89</v>
      </c>
      <c r="I122" s="2" t="str" cm="1">
        <f t="array" aca="1" ref="I122" ca="1">_xlfn.IFS(
    ABS(Fuel_prices[[#This Row],[%_change]])&gt;50,"SEVERE IMPACT",
    ABS(Fuel_prices[[#This Row],[%_change]])&gt;25,"HIGH IMPACT",
    ABS(Fuel_prices[[#This Row],[%_change]])&gt;5,"MID IMPACT",
    ABS(Fuel_prices[[#This Row],[%_change]])&lt;=5,"LITTLE IMPACT"
)</f>
        <v>LITTLE IMPACT</v>
      </c>
    </row>
    <row r="123" spans="1:9" x14ac:dyDescent="0.25">
      <c r="A123" s="4">
        <v>29252</v>
      </c>
      <c r="B123" s="6" t="str">
        <f>_xlfn.CONCAT("Q",CEILING(Fuel_prices[[#This Row],[Month]]/3,1))</f>
        <v>Q1</v>
      </c>
      <c r="C123" s="6">
        <f>MONTH(Fuel_prices[[#This Row],[Date]])</f>
        <v>2</v>
      </c>
      <c r="D123" s="6" t="str">
        <f>TEXT(Fuel_prices[[#This Row],[Date]],"mmm")</f>
        <v>Feb</v>
      </c>
      <c r="E123" s="6">
        <f>YEAR(Fuel_prices[[#This Row],[Date]])</f>
        <v>1980</v>
      </c>
      <c r="F123" s="5">
        <v>37.25</v>
      </c>
      <c r="G123" s="2">
        <f ca="1">ROUND(IFERROR((Fuel_prices[[#This Row],[Crude_Oil_Price]]-OFFSET(Fuel_prices[[#This Row],[Crude_Oil_Price]],-1,0)),0),2)</f>
        <v>-1.75</v>
      </c>
      <c r="H123" s="2">
        <f ca="1">ROUND((IFERROR((Fuel_prices[[#This Row],[Crude_Oil_Price]]-OFFSET(Fuel_prices[[#This Row],[Crude_Oil_Price]],-1,0))/(OFFSET(Fuel_prices[[#This Row],[Crude_Oil_Price]],-1,0)),0))*100,2)</f>
        <v>-4.49</v>
      </c>
      <c r="I123" s="2" t="str" cm="1">
        <f t="array" aca="1" ref="I123" ca="1">_xlfn.IFS(
    ABS(Fuel_prices[[#This Row],[%_change]])&gt;50,"SEVERE IMPACT",
    ABS(Fuel_prices[[#This Row],[%_change]])&gt;25,"HIGH IMPACT",
    ABS(Fuel_prices[[#This Row],[%_change]])&gt;5,"MID IMPACT",
    ABS(Fuel_prices[[#This Row],[%_change]])&lt;=5,"LITTLE IMPACT"
)</f>
        <v>LITTLE IMPACT</v>
      </c>
    </row>
    <row r="124" spans="1:9" x14ac:dyDescent="0.25">
      <c r="A124" s="4">
        <v>29281</v>
      </c>
      <c r="B124" s="6" t="str">
        <f>_xlfn.CONCAT("Q",CEILING(Fuel_prices[[#This Row],[Month]]/3,1))</f>
        <v>Q1</v>
      </c>
      <c r="C124" s="6">
        <f>MONTH(Fuel_prices[[#This Row],[Date]])</f>
        <v>3</v>
      </c>
      <c r="D124" s="6" t="str">
        <f>TEXT(Fuel_prices[[#This Row],[Date]],"mmm")</f>
        <v>Mar</v>
      </c>
      <c r="E124" s="6">
        <f>YEAR(Fuel_prices[[#This Row],[Date]])</f>
        <v>1980</v>
      </c>
      <c r="F124" s="5">
        <v>37</v>
      </c>
      <c r="G124" s="2">
        <f ca="1">ROUND(IFERROR((Fuel_prices[[#This Row],[Crude_Oil_Price]]-OFFSET(Fuel_prices[[#This Row],[Crude_Oil_Price]],-1,0)),0),2)</f>
        <v>-0.25</v>
      </c>
      <c r="H124" s="2">
        <f ca="1">ROUND((IFERROR((Fuel_prices[[#This Row],[Crude_Oil_Price]]-OFFSET(Fuel_prices[[#This Row],[Crude_Oil_Price]],-1,0))/(OFFSET(Fuel_prices[[#This Row],[Crude_Oil_Price]],-1,0)),0))*100,2)</f>
        <v>-0.67</v>
      </c>
      <c r="I124" s="2" t="str" cm="1">
        <f t="array" aca="1" ref="I124" ca="1">_xlfn.IFS(
    ABS(Fuel_prices[[#This Row],[%_change]])&gt;50,"SEVERE IMPACT",
    ABS(Fuel_prices[[#This Row],[%_change]])&gt;25,"HIGH IMPACT",
    ABS(Fuel_prices[[#This Row],[%_change]])&gt;5,"MID IMPACT",
    ABS(Fuel_prices[[#This Row],[%_change]])&lt;=5,"LITTLE IMPACT"
)</f>
        <v>LITTLE IMPACT</v>
      </c>
    </row>
    <row r="125" spans="1:9" x14ac:dyDescent="0.25">
      <c r="A125" s="4">
        <v>29312</v>
      </c>
      <c r="B125" s="6" t="str">
        <f>_xlfn.CONCAT("Q",CEILING(Fuel_prices[[#This Row],[Month]]/3,1))</f>
        <v>Q2</v>
      </c>
      <c r="C125" s="6">
        <f>MONTH(Fuel_prices[[#This Row],[Date]])</f>
        <v>4</v>
      </c>
      <c r="D125" s="6" t="str">
        <f>TEXT(Fuel_prices[[#This Row],[Date]],"mmm")</f>
        <v>Apr</v>
      </c>
      <c r="E125" s="6">
        <f>YEAR(Fuel_prices[[#This Row],[Date]])</f>
        <v>1980</v>
      </c>
      <c r="F125" s="5">
        <v>36.57500076294</v>
      </c>
      <c r="G125" s="2">
        <f ca="1">ROUND(IFERROR((Fuel_prices[[#This Row],[Crude_Oil_Price]]-OFFSET(Fuel_prices[[#This Row],[Crude_Oil_Price]],-1,0)),0),2)</f>
        <v>-0.42</v>
      </c>
      <c r="H125" s="2">
        <f ca="1">ROUND((IFERROR((Fuel_prices[[#This Row],[Crude_Oil_Price]]-OFFSET(Fuel_prices[[#This Row],[Crude_Oil_Price]],-1,0))/(OFFSET(Fuel_prices[[#This Row],[Crude_Oil_Price]],-1,0)),0))*100,2)</f>
        <v>-1.1499999999999999</v>
      </c>
      <c r="I125" s="2" t="str" cm="1">
        <f t="array" aca="1" ref="I125" ca="1">_xlfn.IFS(
    ABS(Fuel_prices[[#This Row],[%_change]])&gt;50,"SEVERE IMPACT",
    ABS(Fuel_prices[[#This Row],[%_change]])&gt;25,"HIGH IMPACT",
    ABS(Fuel_prices[[#This Row],[%_change]])&gt;5,"MID IMPACT",
    ABS(Fuel_prices[[#This Row],[%_change]])&lt;=5,"LITTLE IMPACT"
)</f>
        <v>LITTLE IMPACT</v>
      </c>
    </row>
    <row r="126" spans="1:9" x14ac:dyDescent="0.25">
      <c r="A126" s="4">
        <v>29342</v>
      </c>
      <c r="B126" s="6" t="str">
        <f>_xlfn.CONCAT("Q",CEILING(Fuel_prices[[#This Row],[Month]]/3,1))</f>
        <v>Q2</v>
      </c>
      <c r="C126" s="6">
        <f>MONTH(Fuel_prices[[#This Row],[Date]])</f>
        <v>5</v>
      </c>
      <c r="D126" s="6" t="str">
        <f>TEXT(Fuel_prices[[#This Row],[Date]],"mmm")</f>
        <v>May</v>
      </c>
      <c r="E126" s="6">
        <f>YEAR(Fuel_prices[[#This Row],[Date]])</f>
        <v>1980</v>
      </c>
      <c r="F126" s="5">
        <v>37.04999923706</v>
      </c>
      <c r="G126" s="2">
        <f ca="1">ROUND(IFERROR((Fuel_prices[[#This Row],[Crude_Oil_Price]]-OFFSET(Fuel_prices[[#This Row],[Crude_Oil_Price]],-1,0)),0),2)</f>
        <v>0.47</v>
      </c>
      <c r="H126" s="2">
        <f ca="1">ROUND((IFERROR((Fuel_prices[[#This Row],[Crude_Oil_Price]]-OFFSET(Fuel_prices[[#This Row],[Crude_Oil_Price]],-1,0))/(OFFSET(Fuel_prices[[#This Row],[Crude_Oil_Price]],-1,0)),0))*100,2)</f>
        <v>1.3</v>
      </c>
      <c r="I126" s="2" t="str" cm="1">
        <f t="array" aca="1" ref="I126" ca="1">_xlfn.IFS(
    ABS(Fuel_prices[[#This Row],[%_change]])&gt;50,"SEVERE IMPACT",
    ABS(Fuel_prices[[#This Row],[%_change]])&gt;25,"HIGH IMPACT",
    ABS(Fuel_prices[[#This Row],[%_change]])&gt;5,"MID IMPACT",
    ABS(Fuel_prices[[#This Row],[%_change]])&lt;=5,"LITTLE IMPACT"
)</f>
        <v>LITTLE IMPACT</v>
      </c>
    </row>
    <row r="127" spans="1:9" x14ac:dyDescent="0.25">
      <c r="A127" s="4">
        <v>29373</v>
      </c>
      <c r="B127" s="6" t="str">
        <f>_xlfn.CONCAT("Q",CEILING(Fuel_prices[[#This Row],[Month]]/3,1))</f>
        <v>Q2</v>
      </c>
      <c r="C127" s="6">
        <f>MONTH(Fuel_prices[[#This Row],[Date]])</f>
        <v>6</v>
      </c>
      <c r="D127" s="6" t="str">
        <f>TEXT(Fuel_prices[[#This Row],[Date]],"mmm")</f>
        <v>Jun</v>
      </c>
      <c r="E127" s="6">
        <f>YEAR(Fuel_prices[[#This Row],[Date]])</f>
        <v>1980</v>
      </c>
      <c r="F127" s="5">
        <v>37</v>
      </c>
      <c r="G127" s="2">
        <f ca="1">ROUND(IFERROR((Fuel_prices[[#This Row],[Crude_Oil_Price]]-OFFSET(Fuel_prices[[#This Row],[Crude_Oil_Price]],-1,0)),0),2)</f>
        <v>-0.05</v>
      </c>
      <c r="H127" s="2">
        <f ca="1">ROUND((IFERROR((Fuel_prices[[#This Row],[Crude_Oil_Price]]-OFFSET(Fuel_prices[[#This Row],[Crude_Oil_Price]],-1,0))/(OFFSET(Fuel_prices[[#This Row],[Crude_Oil_Price]],-1,0)),0))*100,2)</f>
        <v>-0.13</v>
      </c>
      <c r="I127" s="2" t="str" cm="1">
        <f t="array" aca="1" ref="I127" ca="1">_xlfn.IFS(
    ABS(Fuel_prices[[#This Row],[%_change]])&gt;50,"SEVERE IMPACT",
    ABS(Fuel_prices[[#This Row],[%_change]])&gt;25,"HIGH IMPACT",
    ABS(Fuel_prices[[#This Row],[%_change]])&gt;5,"MID IMPACT",
    ABS(Fuel_prices[[#This Row],[%_change]])&lt;=5,"LITTLE IMPACT"
)</f>
        <v>LITTLE IMPACT</v>
      </c>
    </row>
    <row r="128" spans="1:9" x14ac:dyDescent="0.25">
      <c r="A128" s="4">
        <v>29403</v>
      </c>
      <c r="B128" s="6" t="str">
        <f>_xlfn.CONCAT("Q",CEILING(Fuel_prices[[#This Row],[Month]]/3,1))</f>
        <v>Q3</v>
      </c>
      <c r="C128" s="6">
        <f>MONTH(Fuel_prices[[#This Row],[Date]])</f>
        <v>7</v>
      </c>
      <c r="D128" s="6" t="str">
        <f>TEXT(Fuel_prices[[#This Row],[Date]],"mmm")</f>
        <v>Jul</v>
      </c>
      <c r="E128" s="6">
        <f>YEAR(Fuel_prices[[#This Row],[Date]])</f>
        <v>1980</v>
      </c>
      <c r="F128" s="5">
        <v>35.375</v>
      </c>
      <c r="G128" s="2">
        <f ca="1">ROUND(IFERROR((Fuel_prices[[#This Row],[Crude_Oil_Price]]-OFFSET(Fuel_prices[[#This Row],[Crude_Oil_Price]],-1,0)),0),2)</f>
        <v>-1.63</v>
      </c>
      <c r="H128" s="2">
        <f ca="1">ROUND((IFERROR((Fuel_prices[[#This Row],[Crude_Oil_Price]]-OFFSET(Fuel_prices[[#This Row],[Crude_Oil_Price]],-1,0))/(OFFSET(Fuel_prices[[#This Row],[Crude_Oil_Price]],-1,0)),0))*100,2)</f>
        <v>-4.3899999999999997</v>
      </c>
      <c r="I128" s="2" t="str" cm="1">
        <f t="array" aca="1" ref="I128" ca="1">_xlfn.IFS(
    ABS(Fuel_prices[[#This Row],[%_change]])&gt;50,"SEVERE IMPACT",
    ABS(Fuel_prices[[#This Row],[%_change]])&gt;25,"HIGH IMPACT",
    ABS(Fuel_prices[[#This Row],[%_change]])&gt;5,"MID IMPACT",
    ABS(Fuel_prices[[#This Row],[%_change]])&lt;=5,"LITTLE IMPACT"
)</f>
        <v>LITTLE IMPACT</v>
      </c>
    </row>
    <row r="129" spans="1:9" x14ac:dyDescent="0.25">
      <c r="A129" s="4">
        <v>29434</v>
      </c>
      <c r="B129" s="6" t="str">
        <f>_xlfn.CONCAT("Q",CEILING(Fuel_prices[[#This Row],[Month]]/3,1))</f>
        <v>Q3</v>
      </c>
      <c r="C129" s="6">
        <f>MONTH(Fuel_prices[[#This Row],[Date]])</f>
        <v>8</v>
      </c>
      <c r="D129" s="6" t="str">
        <f>TEXT(Fuel_prices[[#This Row],[Date]],"mmm")</f>
        <v>Aug</v>
      </c>
      <c r="E129" s="6">
        <f>YEAR(Fuel_prices[[#This Row],[Date]])</f>
        <v>1980</v>
      </c>
      <c r="F129" s="5">
        <v>32.949998855590003</v>
      </c>
      <c r="G129" s="2">
        <f ca="1">ROUND(IFERROR((Fuel_prices[[#This Row],[Crude_Oil_Price]]-OFFSET(Fuel_prices[[#This Row],[Crude_Oil_Price]],-1,0)),0),2)</f>
        <v>-2.4300000000000002</v>
      </c>
      <c r="H129" s="2">
        <f ca="1">ROUND((IFERROR((Fuel_prices[[#This Row],[Crude_Oil_Price]]-OFFSET(Fuel_prices[[#This Row],[Crude_Oil_Price]],-1,0))/(OFFSET(Fuel_prices[[#This Row],[Crude_Oil_Price]],-1,0)),0))*100,2)</f>
        <v>-6.86</v>
      </c>
      <c r="I129" s="2" t="str" cm="1">
        <f t="array" aca="1" ref="I129" ca="1">_xlfn.IFS(
    ABS(Fuel_prices[[#This Row],[%_change]])&gt;50,"SEVERE IMPACT",
    ABS(Fuel_prices[[#This Row],[%_change]])&gt;25,"HIGH IMPACT",
    ABS(Fuel_prices[[#This Row],[%_change]])&gt;5,"MID IMPACT",
    ABS(Fuel_prices[[#This Row],[%_change]])&lt;=5,"LITTLE IMPACT"
)</f>
        <v>MID IMPACT</v>
      </c>
    </row>
    <row r="130" spans="1:9" x14ac:dyDescent="0.25">
      <c r="A130" s="4">
        <v>29465</v>
      </c>
      <c r="B130" s="6" t="str">
        <f>_xlfn.CONCAT("Q",CEILING(Fuel_prices[[#This Row],[Month]]/3,1))</f>
        <v>Q3</v>
      </c>
      <c r="C130" s="6">
        <f>MONTH(Fuel_prices[[#This Row],[Date]])</f>
        <v>9</v>
      </c>
      <c r="D130" s="6" t="str">
        <f>TEXT(Fuel_prices[[#This Row],[Date]],"mmm")</f>
        <v>Sep</v>
      </c>
      <c r="E130" s="6">
        <f>YEAR(Fuel_prices[[#This Row],[Date]])</f>
        <v>1980</v>
      </c>
      <c r="F130" s="5">
        <v>32.82500076294</v>
      </c>
      <c r="G130" s="2">
        <f ca="1">ROUND(IFERROR((Fuel_prices[[#This Row],[Crude_Oil_Price]]-OFFSET(Fuel_prices[[#This Row],[Crude_Oil_Price]],-1,0)),0),2)</f>
        <v>-0.12</v>
      </c>
      <c r="H130" s="2">
        <f ca="1">ROUND((IFERROR((Fuel_prices[[#This Row],[Crude_Oil_Price]]-OFFSET(Fuel_prices[[#This Row],[Crude_Oil_Price]],-1,0))/(OFFSET(Fuel_prices[[#This Row],[Crude_Oil_Price]],-1,0)),0))*100,2)</f>
        <v>-0.38</v>
      </c>
      <c r="I130" s="2" t="str" cm="1">
        <f t="array" aca="1" ref="I130" ca="1">_xlfn.IFS(
    ABS(Fuel_prices[[#This Row],[%_change]])&gt;50,"SEVERE IMPACT",
    ABS(Fuel_prices[[#This Row],[%_change]])&gt;25,"HIGH IMPACT",
    ABS(Fuel_prices[[#This Row],[%_change]])&gt;5,"MID IMPACT",
    ABS(Fuel_prices[[#This Row],[%_change]])&lt;=5,"LITTLE IMPACT"
)</f>
        <v>LITTLE IMPACT</v>
      </c>
    </row>
    <row r="131" spans="1:9" x14ac:dyDescent="0.25">
      <c r="A131" s="4">
        <v>29495</v>
      </c>
      <c r="B131" s="6" t="str">
        <f>_xlfn.CONCAT("Q",CEILING(Fuel_prices[[#This Row],[Month]]/3,1))</f>
        <v>Q4</v>
      </c>
      <c r="C131" s="6">
        <f>MONTH(Fuel_prices[[#This Row],[Date]])</f>
        <v>10</v>
      </c>
      <c r="D131" s="6" t="str">
        <f>TEXT(Fuel_prices[[#This Row],[Date]],"mmm")</f>
        <v>Oct</v>
      </c>
      <c r="E131" s="6">
        <f>YEAR(Fuel_prices[[#This Row],[Date]])</f>
        <v>1980</v>
      </c>
      <c r="F131" s="5">
        <v>37.350000381469997</v>
      </c>
      <c r="G131" s="2">
        <f ca="1">ROUND(IFERROR((Fuel_prices[[#This Row],[Crude_Oil_Price]]-OFFSET(Fuel_prices[[#This Row],[Crude_Oil_Price]],-1,0)),0),2)</f>
        <v>4.5199999999999996</v>
      </c>
      <c r="H131" s="2">
        <f ca="1">ROUND((IFERROR((Fuel_prices[[#This Row],[Crude_Oil_Price]]-OFFSET(Fuel_prices[[#This Row],[Crude_Oil_Price]],-1,0))/(OFFSET(Fuel_prices[[#This Row],[Crude_Oil_Price]],-1,0)),0))*100,2)</f>
        <v>13.79</v>
      </c>
      <c r="I131" s="2" t="str" cm="1">
        <f t="array" aca="1" ref="I131" ca="1">_xlfn.IFS(
    ABS(Fuel_prices[[#This Row],[%_change]])&gt;50,"SEVERE IMPACT",
    ABS(Fuel_prices[[#This Row],[%_change]])&gt;25,"HIGH IMPACT",
    ABS(Fuel_prices[[#This Row],[%_change]])&gt;5,"MID IMPACT",
    ABS(Fuel_prices[[#This Row],[%_change]])&lt;=5,"LITTLE IMPACT"
)</f>
        <v>MID IMPACT</v>
      </c>
    </row>
    <row r="132" spans="1:9" x14ac:dyDescent="0.25">
      <c r="A132" s="4">
        <v>29526</v>
      </c>
      <c r="B132" s="6" t="str">
        <f>_xlfn.CONCAT("Q",CEILING(Fuel_prices[[#This Row],[Month]]/3,1))</f>
        <v>Q4</v>
      </c>
      <c r="C132" s="6">
        <f>MONTH(Fuel_prices[[#This Row],[Date]])</f>
        <v>11</v>
      </c>
      <c r="D132" s="6" t="str">
        <f>TEXT(Fuel_prices[[#This Row],[Date]],"mmm")</f>
        <v>Nov</v>
      </c>
      <c r="E132" s="6">
        <f>YEAR(Fuel_prices[[#This Row],[Date]])</f>
        <v>1980</v>
      </c>
      <c r="F132" s="5">
        <v>40.29999923706</v>
      </c>
      <c r="G132" s="2">
        <f ca="1">ROUND(IFERROR((Fuel_prices[[#This Row],[Crude_Oil_Price]]-OFFSET(Fuel_prices[[#This Row],[Crude_Oil_Price]],-1,0)),0),2)</f>
        <v>2.95</v>
      </c>
      <c r="H132" s="2">
        <f ca="1">ROUND((IFERROR((Fuel_prices[[#This Row],[Crude_Oil_Price]]-OFFSET(Fuel_prices[[#This Row],[Crude_Oil_Price]],-1,0))/(OFFSET(Fuel_prices[[#This Row],[Crude_Oil_Price]],-1,0)),0))*100,2)</f>
        <v>7.9</v>
      </c>
      <c r="I132" s="2" t="str" cm="1">
        <f t="array" aca="1" ref="I132" ca="1">_xlfn.IFS(
    ABS(Fuel_prices[[#This Row],[%_change]])&gt;50,"SEVERE IMPACT",
    ABS(Fuel_prices[[#This Row],[%_change]])&gt;25,"HIGH IMPACT",
    ABS(Fuel_prices[[#This Row],[%_change]])&gt;5,"MID IMPACT",
    ABS(Fuel_prices[[#This Row],[%_change]])&lt;=5,"LITTLE IMPACT"
)</f>
        <v>MID IMPACT</v>
      </c>
    </row>
    <row r="133" spans="1:9" x14ac:dyDescent="0.25">
      <c r="A133" s="4">
        <v>29556</v>
      </c>
      <c r="B133" s="6" t="str">
        <f>_xlfn.CONCAT("Q",CEILING(Fuel_prices[[#This Row],[Month]]/3,1))</f>
        <v>Q4</v>
      </c>
      <c r="C133" s="6">
        <f>MONTH(Fuel_prices[[#This Row],[Date]])</f>
        <v>12</v>
      </c>
      <c r="D133" s="6" t="str">
        <f>TEXT(Fuel_prices[[#This Row],[Date]],"mmm")</f>
        <v>Dec</v>
      </c>
      <c r="E133" s="6">
        <f>YEAR(Fuel_prices[[#This Row],[Date]])</f>
        <v>1980</v>
      </c>
      <c r="F133" s="5">
        <v>39.75</v>
      </c>
      <c r="G133" s="2">
        <f ca="1">ROUND(IFERROR((Fuel_prices[[#This Row],[Crude_Oil_Price]]-OFFSET(Fuel_prices[[#This Row],[Crude_Oil_Price]],-1,0)),0),2)</f>
        <v>-0.55000000000000004</v>
      </c>
      <c r="H133" s="2">
        <f ca="1">ROUND((IFERROR((Fuel_prices[[#This Row],[Crude_Oil_Price]]-OFFSET(Fuel_prices[[#This Row],[Crude_Oil_Price]],-1,0))/(OFFSET(Fuel_prices[[#This Row],[Crude_Oil_Price]],-1,0)),0))*100,2)</f>
        <v>-1.36</v>
      </c>
      <c r="I133" s="2" t="str" cm="1">
        <f t="array" aca="1" ref="I133" ca="1">_xlfn.IFS(
    ABS(Fuel_prices[[#This Row],[%_change]])&gt;50,"SEVERE IMPACT",
    ABS(Fuel_prices[[#This Row],[%_change]])&gt;25,"HIGH IMPACT",
    ABS(Fuel_prices[[#This Row],[%_change]])&gt;5,"MID IMPACT",
    ABS(Fuel_prices[[#This Row],[%_change]])&lt;=5,"LITTLE IMPACT"
)</f>
        <v>LITTLE IMPACT</v>
      </c>
    </row>
    <row r="134" spans="1:9" x14ac:dyDescent="0.25">
      <c r="A134" s="4">
        <v>29587</v>
      </c>
      <c r="B134" s="6" t="str">
        <f>_xlfn.CONCAT("Q",CEILING(Fuel_prices[[#This Row],[Month]]/3,1))</f>
        <v>Q1</v>
      </c>
      <c r="C134" s="6">
        <f>MONTH(Fuel_prices[[#This Row],[Date]])</f>
        <v>1</v>
      </c>
      <c r="D134" s="6" t="str">
        <f>TEXT(Fuel_prices[[#This Row],[Date]],"mmm")</f>
        <v>Jan</v>
      </c>
      <c r="E134" s="6">
        <f>YEAR(Fuel_prices[[#This Row],[Date]])</f>
        <v>1981</v>
      </c>
      <c r="F134" s="5">
        <v>39.774999618530003</v>
      </c>
      <c r="G134" s="2">
        <f ca="1">ROUND(IFERROR((Fuel_prices[[#This Row],[Crude_Oil_Price]]-OFFSET(Fuel_prices[[#This Row],[Crude_Oil_Price]],-1,0)),0),2)</f>
        <v>0.02</v>
      </c>
      <c r="H134" s="2">
        <f ca="1">ROUND((IFERROR((Fuel_prices[[#This Row],[Crude_Oil_Price]]-OFFSET(Fuel_prices[[#This Row],[Crude_Oil_Price]],-1,0))/(OFFSET(Fuel_prices[[#This Row],[Crude_Oil_Price]],-1,0)),0))*100,2)</f>
        <v>0.06</v>
      </c>
      <c r="I134" s="2" t="str" cm="1">
        <f t="array" aca="1" ref="I134" ca="1">_xlfn.IFS(
    ABS(Fuel_prices[[#This Row],[%_change]])&gt;50,"SEVERE IMPACT",
    ABS(Fuel_prices[[#This Row],[%_change]])&gt;25,"HIGH IMPACT",
    ABS(Fuel_prices[[#This Row],[%_change]])&gt;5,"MID IMPACT",
    ABS(Fuel_prices[[#This Row],[%_change]])&lt;=5,"LITTLE IMPACT"
)</f>
        <v>LITTLE IMPACT</v>
      </c>
    </row>
    <row r="135" spans="1:9" x14ac:dyDescent="0.25">
      <c r="A135" s="4">
        <v>29618</v>
      </c>
      <c r="B135" s="6" t="str">
        <f>_xlfn.CONCAT("Q",CEILING(Fuel_prices[[#This Row],[Month]]/3,1))</f>
        <v>Q1</v>
      </c>
      <c r="C135" s="6">
        <f>MONTH(Fuel_prices[[#This Row],[Date]])</f>
        <v>2</v>
      </c>
      <c r="D135" s="6" t="str">
        <f>TEXT(Fuel_prices[[#This Row],[Date]],"mmm")</f>
        <v>Feb</v>
      </c>
      <c r="E135" s="6">
        <f>YEAR(Fuel_prices[[#This Row],[Date]])</f>
        <v>1981</v>
      </c>
      <c r="F135" s="5">
        <v>37.899999618530003</v>
      </c>
      <c r="G135" s="2">
        <f ca="1">ROUND(IFERROR((Fuel_prices[[#This Row],[Crude_Oil_Price]]-OFFSET(Fuel_prices[[#This Row],[Crude_Oil_Price]],-1,0)),0),2)</f>
        <v>-1.88</v>
      </c>
      <c r="H135" s="2">
        <f ca="1">ROUND((IFERROR((Fuel_prices[[#This Row],[Crude_Oil_Price]]-OFFSET(Fuel_prices[[#This Row],[Crude_Oil_Price]],-1,0))/(OFFSET(Fuel_prices[[#This Row],[Crude_Oil_Price]],-1,0)),0))*100,2)</f>
        <v>-4.71</v>
      </c>
      <c r="I135" s="2" t="str" cm="1">
        <f t="array" aca="1" ref="I135" ca="1">_xlfn.IFS(
    ABS(Fuel_prices[[#This Row],[%_change]])&gt;50,"SEVERE IMPACT",
    ABS(Fuel_prices[[#This Row],[%_change]])&gt;25,"HIGH IMPACT",
    ABS(Fuel_prices[[#This Row],[%_change]])&gt;5,"MID IMPACT",
    ABS(Fuel_prices[[#This Row],[%_change]])&lt;=5,"LITTLE IMPACT"
)</f>
        <v>LITTLE IMPACT</v>
      </c>
    </row>
    <row r="136" spans="1:9" x14ac:dyDescent="0.25">
      <c r="A136" s="4">
        <v>29646</v>
      </c>
      <c r="B136" s="6" t="str">
        <f>_xlfn.CONCAT("Q",CEILING(Fuel_prices[[#This Row],[Month]]/3,1))</f>
        <v>Q1</v>
      </c>
      <c r="C136" s="6">
        <f>MONTH(Fuel_prices[[#This Row],[Date]])</f>
        <v>3</v>
      </c>
      <c r="D136" s="6" t="str">
        <f>TEXT(Fuel_prices[[#This Row],[Date]],"mmm")</f>
        <v>Mar</v>
      </c>
      <c r="E136" s="6">
        <f>YEAR(Fuel_prices[[#This Row],[Date]])</f>
        <v>1981</v>
      </c>
      <c r="F136" s="5">
        <v>37.59999847412</v>
      </c>
      <c r="G136" s="2">
        <f ca="1">ROUND(IFERROR((Fuel_prices[[#This Row],[Crude_Oil_Price]]-OFFSET(Fuel_prices[[#This Row],[Crude_Oil_Price]],-1,0)),0),2)</f>
        <v>-0.3</v>
      </c>
      <c r="H136" s="2">
        <f ca="1">ROUND((IFERROR((Fuel_prices[[#This Row],[Crude_Oil_Price]]-OFFSET(Fuel_prices[[#This Row],[Crude_Oil_Price]],-1,0))/(OFFSET(Fuel_prices[[#This Row],[Crude_Oil_Price]],-1,0)),0))*100,2)</f>
        <v>-0.79</v>
      </c>
      <c r="I136" s="2" t="str" cm="1">
        <f t="array" aca="1" ref="I136" ca="1">_xlfn.IFS(
    ABS(Fuel_prices[[#This Row],[%_change]])&gt;50,"SEVERE IMPACT",
    ABS(Fuel_prices[[#This Row],[%_change]])&gt;25,"HIGH IMPACT",
    ABS(Fuel_prices[[#This Row],[%_change]])&gt;5,"MID IMPACT",
    ABS(Fuel_prices[[#This Row],[%_change]])&lt;=5,"LITTLE IMPACT"
)</f>
        <v>LITTLE IMPACT</v>
      </c>
    </row>
    <row r="137" spans="1:9" x14ac:dyDescent="0.25">
      <c r="A137" s="4">
        <v>29677</v>
      </c>
      <c r="B137" s="6" t="str">
        <f>_xlfn.CONCAT("Q",CEILING(Fuel_prices[[#This Row],[Month]]/3,1))</f>
        <v>Q2</v>
      </c>
      <c r="C137" s="6">
        <f>MONTH(Fuel_prices[[#This Row],[Date]])</f>
        <v>4</v>
      </c>
      <c r="D137" s="6" t="str">
        <f>TEXT(Fuel_prices[[#This Row],[Date]],"mmm")</f>
        <v>Apr</v>
      </c>
      <c r="E137" s="6">
        <f>YEAR(Fuel_prices[[#This Row],[Date]])</f>
        <v>1981</v>
      </c>
      <c r="F137" s="5">
        <v>36.369998931879998</v>
      </c>
      <c r="G137" s="2">
        <f ca="1">ROUND(IFERROR((Fuel_prices[[#This Row],[Crude_Oil_Price]]-OFFSET(Fuel_prices[[#This Row],[Crude_Oil_Price]],-1,0)),0),2)</f>
        <v>-1.23</v>
      </c>
      <c r="H137" s="2">
        <f ca="1">ROUND((IFERROR((Fuel_prices[[#This Row],[Crude_Oil_Price]]-OFFSET(Fuel_prices[[#This Row],[Crude_Oil_Price]],-1,0))/(OFFSET(Fuel_prices[[#This Row],[Crude_Oil_Price]],-1,0)),0))*100,2)</f>
        <v>-3.27</v>
      </c>
      <c r="I137" s="2" t="str" cm="1">
        <f t="array" aca="1" ref="I137" ca="1">_xlfn.IFS(
    ABS(Fuel_prices[[#This Row],[%_change]])&gt;50,"SEVERE IMPACT",
    ABS(Fuel_prices[[#This Row],[%_change]])&gt;25,"HIGH IMPACT",
    ABS(Fuel_prices[[#This Row],[%_change]])&gt;5,"MID IMPACT",
    ABS(Fuel_prices[[#This Row],[%_change]])&lt;=5,"LITTLE IMPACT"
)</f>
        <v>LITTLE IMPACT</v>
      </c>
    </row>
    <row r="138" spans="1:9" x14ac:dyDescent="0.25">
      <c r="A138" s="4">
        <v>29707</v>
      </c>
      <c r="B138" s="6" t="str">
        <f>_xlfn.CONCAT("Q",CEILING(Fuel_prices[[#This Row],[Month]]/3,1))</f>
        <v>Q2</v>
      </c>
      <c r="C138" s="6">
        <f>MONTH(Fuel_prices[[#This Row],[Date]])</f>
        <v>5</v>
      </c>
      <c r="D138" s="6" t="str">
        <f>TEXT(Fuel_prices[[#This Row],[Date]],"mmm")</f>
        <v>May</v>
      </c>
      <c r="E138" s="6">
        <f>YEAR(Fuel_prices[[#This Row],[Date]])</f>
        <v>1981</v>
      </c>
      <c r="F138" s="5">
        <v>34.284999847409999</v>
      </c>
      <c r="G138" s="2">
        <f ca="1">ROUND(IFERROR((Fuel_prices[[#This Row],[Crude_Oil_Price]]-OFFSET(Fuel_prices[[#This Row],[Crude_Oil_Price]],-1,0)),0),2)</f>
        <v>-2.08</v>
      </c>
      <c r="H138" s="2">
        <f ca="1">ROUND((IFERROR((Fuel_prices[[#This Row],[Crude_Oil_Price]]-OFFSET(Fuel_prices[[#This Row],[Crude_Oil_Price]],-1,0))/(OFFSET(Fuel_prices[[#This Row],[Crude_Oil_Price]],-1,0)),0))*100,2)</f>
        <v>-5.73</v>
      </c>
      <c r="I138" s="2" t="str" cm="1">
        <f t="array" aca="1" ref="I138" ca="1">_xlfn.IFS(
    ABS(Fuel_prices[[#This Row],[%_change]])&gt;50,"SEVERE IMPACT",
    ABS(Fuel_prices[[#This Row],[%_change]])&gt;25,"HIGH IMPACT",
    ABS(Fuel_prices[[#This Row],[%_change]])&gt;5,"MID IMPACT",
    ABS(Fuel_prices[[#This Row],[%_change]])&lt;=5,"LITTLE IMPACT"
)</f>
        <v>MID IMPACT</v>
      </c>
    </row>
    <row r="139" spans="1:9" x14ac:dyDescent="0.25">
      <c r="A139" s="4">
        <v>29738</v>
      </c>
      <c r="B139" s="6" t="str">
        <f>_xlfn.CONCAT("Q",CEILING(Fuel_prices[[#This Row],[Month]]/3,1))</f>
        <v>Q2</v>
      </c>
      <c r="C139" s="6">
        <f>MONTH(Fuel_prices[[#This Row],[Date]])</f>
        <v>6</v>
      </c>
      <c r="D139" s="6" t="str">
        <f>TEXT(Fuel_prices[[#This Row],[Date]],"mmm")</f>
        <v>Jun</v>
      </c>
      <c r="E139" s="6">
        <f>YEAR(Fuel_prices[[#This Row],[Date]])</f>
        <v>1981</v>
      </c>
      <c r="F139" s="5">
        <v>32.709999084469999</v>
      </c>
      <c r="G139" s="2">
        <f ca="1">ROUND(IFERROR((Fuel_prices[[#This Row],[Crude_Oil_Price]]-OFFSET(Fuel_prices[[#This Row],[Crude_Oil_Price]],-1,0)),0),2)</f>
        <v>-1.58</v>
      </c>
      <c r="H139" s="2">
        <f ca="1">ROUND((IFERROR((Fuel_prices[[#This Row],[Crude_Oil_Price]]-OFFSET(Fuel_prices[[#This Row],[Crude_Oil_Price]],-1,0))/(OFFSET(Fuel_prices[[#This Row],[Crude_Oil_Price]],-1,0)),0))*100,2)</f>
        <v>-4.59</v>
      </c>
      <c r="I139" s="2" t="str" cm="1">
        <f t="array" aca="1" ref="I139" ca="1">_xlfn.IFS(
    ABS(Fuel_prices[[#This Row],[%_change]])&gt;50,"SEVERE IMPACT",
    ABS(Fuel_prices[[#This Row],[%_change]])&gt;25,"HIGH IMPACT",
    ABS(Fuel_prices[[#This Row],[%_change]])&gt;5,"MID IMPACT",
    ABS(Fuel_prices[[#This Row],[%_change]])&lt;=5,"LITTLE IMPACT"
)</f>
        <v>LITTLE IMPACT</v>
      </c>
    </row>
    <row r="140" spans="1:9" x14ac:dyDescent="0.25">
      <c r="A140" s="4">
        <v>29768</v>
      </c>
      <c r="B140" s="6" t="str">
        <f>_xlfn.CONCAT("Q",CEILING(Fuel_prices[[#This Row],[Month]]/3,1))</f>
        <v>Q3</v>
      </c>
      <c r="C140" s="6">
        <f>MONTH(Fuel_prices[[#This Row],[Date]])</f>
        <v>7</v>
      </c>
      <c r="D140" s="6" t="str">
        <f>TEXT(Fuel_prices[[#This Row],[Date]],"mmm")</f>
        <v>Jul</v>
      </c>
      <c r="E140" s="6">
        <f>YEAR(Fuel_prices[[#This Row],[Date]])</f>
        <v>1981</v>
      </c>
      <c r="F140" s="5">
        <v>33.510000228880003</v>
      </c>
      <c r="G140" s="2">
        <f ca="1">ROUND(IFERROR((Fuel_prices[[#This Row],[Crude_Oil_Price]]-OFFSET(Fuel_prices[[#This Row],[Crude_Oil_Price]],-1,0)),0),2)</f>
        <v>0.8</v>
      </c>
      <c r="H140" s="2">
        <f ca="1">ROUND((IFERROR((Fuel_prices[[#This Row],[Crude_Oil_Price]]-OFFSET(Fuel_prices[[#This Row],[Crude_Oil_Price]],-1,0))/(OFFSET(Fuel_prices[[#This Row],[Crude_Oil_Price]],-1,0)),0))*100,2)</f>
        <v>2.4500000000000002</v>
      </c>
      <c r="I140" s="2" t="str" cm="1">
        <f t="array" aca="1" ref="I140" ca="1">_xlfn.IFS(
    ABS(Fuel_prices[[#This Row],[%_change]])&gt;50,"SEVERE IMPACT",
    ABS(Fuel_prices[[#This Row],[%_change]])&gt;25,"HIGH IMPACT",
    ABS(Fuel_prices[[#This Row],[%_change]])&gt;5,"MID IMPACT",
    ABS(Fuel_prices[[#This Row],[%_change]])&lt;=5,"LITTLE IMPACT"
)</f>
        <v>LITTLE IMPACT</v>
      </c>
    </row>
    <row r="141" spans="1:9" x14ac:dyDescent="0.25">
      <c r="A141" s="4">
        <v>29799</v>
      </c>
      <c r="B141" s="6" t="str">
        <f>_xlfn.CONCAT("Q",CEILING(Fuel_prices[[#This Row],[Month]]/3,1))</f>
        <v>Q3</v>
      </c>
      <c r="C141" s="6">
        <f>MONTH(Fuel_prices[[#This Row],[Date]])</f>
        <v>8</v>
      </c>
      <c r="D141" s="6" t="str">
        <f>TEXT(Fuel_prices[[#This Row],[Date]],"mmm")</f>
        <v>Aug</v>
      </c>
      <c r="E141" s="6">
        <f>YEAR(Fuel_prices[[#This Row],[Date]])</f>
        <v>1981</v>
      </c>
      <c r="F141" s="5">
        <v>33.984998703000002</v>
      </c>
      <c r="G141" s="2">
        <f ca="1">ROUND(IFERROR((Fuel_prices[[#This Row],[Crude_Oil_Price]]-OFFSET(Fuel_prices[[#This Row],[Crude_Oil_Price]],-1,0)),0),2)</f>
        <v>0.47</v>
      </c>
      <c r="H141" s="2">
        <f ca="1">ROUND((IFERROR((Fuel_prices[[#This Row],[Crude_Oil_Price]]-OFFSET(Fuel_prices[[#This Row],[Crude_Oil_Price]],-1,0))/(OFFSET(Fuel_prices[[#This Row],[Crude_Oil_Price]],-1,0)),0))*100,2)</f>
        <v>1.42</v>
      </c>
      <c r="I141" s="2" t="str" cm="1">
        <f t="array" aca="1" ref="I141" ca="1">_xlfn.IFS(
    ABS(Fuel_prices[[#This Row],[%_change]])&gt;50,"SEVERE IMPACT",
    ABS(Fuel_prices[[#This Row],[%_change]])&gt;25,"HIGH IMPACT",
    ABS(Fuel_prices[[#This Row],[%_change]])&gt;5,"MID IMPACT",
    ABS(Fuel_prices[[#This Row],[%_change]])&lt;=5,"LITTLE IMPACT"
)</f>
        <v>LITTLE IMPACT</v>
      </c>
    </row>
    <row r="142" spans="1:9" x14ac:dyDescent="0.25">
      <c r="A142" s="4">
        <v>29830</v>
      </c>
      <c r="B142" s="6" t="str">
        <f>_xlfn.CONCAT("Q",CEILING(Fuel_prices[[#This Row],[Month]]/3,1))</f>
        <v>Q3</v>
      </c>
      <c r="C142" s="6">
        <f>MONTH(Fuel_prices[[#This Row],[Date]])</f>
        <v>9</v>
      </c>
      <c r="D142" s="6" t="str">
        <f>TEXT(Fuel_prices[[#This Row],[Date]],"mmm")</f>
        <v>Sep</v>
      </c>
      <c r="E142" s="6">
        <f>YEAR(Fuel_prices[[#This Row],[Date]])</f>
        <v>1981</v>
      </c>
      <c r="F142" s="5">
        <v>33.985000610349999</v>
      </c>
      <c r="G142" s="2">
        <f ca="1">ROUND(IFERROR((Fuel_prices[[#This Row],[Crude_Oil_Price]]-OFFSET(Fuel_prices[[#This Row],[Crude_Oil_Price]],-1,0)),0),2)</f>
        <v>0</v>
      </c>
      <c r="H142" s="2">
        <f ca="1">ROUND((IFERROR((Fuel_prices[[#This Row],[Crude_Oil_Price]]-OFFSET(Fuel_prices[[#This Row],[Crude_Oil_Price]],-1,0))/(OFFSET(Fuel_prices[[#This Row],[Crude_Oil_Price]],-1,0)),0))*100,2)</f>
        <v>0</v>
      </c>
      <c r="I142" s="2" t="str" cm="1">
        <f t="array" aca="1" ref="I142" ca="1">_xlfn.IFS(
    ABS(Fuel_prices[[#This Row],[%_change]])&gt;50,"SEVERE IMPACT",
    ABS(Fuel_prices[[#This Row],[%_change]])&gt;25,"HIGH IMPACT",
    ABS(Fuel_prices[[#This Row],[%_change]])&gt;5,"MID IMPACT",
    ABS(Fuel_prices[[#This Row],[%_change]])&lt;=5,"LITTLE IMPACT"
)</f>
        <v>LITTLE IMPACT</v>
      </c>
    </row>
    <row r="143" spans="1:9" x14ac:dyDescent="0.25">
      <c r="A143" s="4">
        <v>29860</v>
      </c>
      <c r="B143" s="6" t="str">
        <f>_xlfn.CONCAT("Q",CEILING(Fuel_prices[[#This Row],[Month]]/3,1))</f>
        <v>Q4</v>
      </c>
      <c r="C143" s="6">
        <f>MONTH(Fuel_prices[[#This Row],[Date]])</f>
        <v>10</v>
      </c>
      <c r="D143" s="6" t="str">
        <f>TEXT(Fuel_prices[[#This Row],[Date]],"mmm")</f>
        <v>Oct</v>
      </c>
      <c r="E143" s="6">
        <f>YEAR(Fuel_prices[[#This Row],[Date]])</f>
        <v>1981</v>
      </c>
      <c r="F143" s="5">
        <v>34.610000610349999</v>
      </c>
      <c r="G143" s="2">
        <f ca="1">ROUND(IFERROR((Fuel_prices[[#This Row],[Crude_Oil_Price]]-OFFSET(Fuel_prices[[#This Row],[Crude_Oil_Price]],-1,0)),0),2)</f>
        <v>0.63</v>
      </c>
      <c r="H143" s="2">
        <f ca="1">ROUND((IFERROR((Fuel_prices[[#This Row],[Crude_Oil_Price]]-OFFSET(Fuel_prices[[#This Row],[Crude_Oil_Price]],-1,0))/(OFFSET(Fuel_prices[[#This Row],[Crude_Oil_Price]],-1,0)),0))*100,2)</f>
        <v>1.84</v>
      </c>
      <c r="I143" s="2" t="str" cm="1">
        <f t="array" aca="1" ref="I143" ca="1">_xlfn.IFS(
    ABS(Fuel_prices[[#This Row],[%_change]])&gt;50,"SEVERE IMPACT",
    ABS(Fuel_prices[[#This Row],[%_change]])&gt;25,"HIGH IMPACT",
    ABS(Fuel_prices[[#This Row],[%_change]])&gt;5,"MID IMPACT",
    ABS(Fuel_prices[[#This Row],[%_change]])&lt;=5,"LITTLE IMPACT"
)</f>
        <v>LITTLE IMPACT</v>
      </c>
    </row>
    <row r="144" spans="1:9" x14ac:dyDescent="0.25">
      <c r="A144" s="4">
        <v>29891</v>
      </c>
      <c r="B144" s="6" t="str">
        <f>_xlfn.CONCAT("Q",CEILING(Fuel_prices[[#This Row],[Month]]/3,1))</f>
        <v>Q4</v>
      </c>
      <c r="C144" s="6">
        <f>MONTH(Fuel_prices[[#This Row],[Date]])</f>
        <v>11</v>
      </c>
      <c r="D144" s="6" t="str">
        <f>TEXT(Fuel_prices[[#This Row],[Date]],"mmm")</f>
        <v>Nov</v>
      </c>
      <c r="E144" s="6">
        <f>YEAR(Fuel_prices[[#This Row],[Date]])</f>
        <v>1981</v>
      </c>
      <c r="F144" s="5">
        <v>35.680000305180002</v>
      </c>
      <c r="G144" s="2">
        <f ca="1">ROUND(IFERROR((Fuel_prices[[#This Row],[Crude_Oil_Price]]-OFFSET(Fuel_prices[[#This Row],[Crude_Oil_Price]],-1,0)),0),2)</f>
        <v>1.07</v>
      </c>
      <c r="H144" s="2">
        <f ca="1">ROUND((IFERROR((Fuel_prices[[#This Row],[Crude_Oil_Price]]-OFFSET(Fuel_prices[[#This Row],[Crude_Oil_Price]],-1,0))/(OFFSET(Fuel_prices[[#This Row],[Crude_Oil_Price]],-1,0)),0))*100,2)</f>
        <v>3.09</v>
      </c>
      <c r="I144" s="2" t="str" cm="1">
        <f t="array" aca="1" ref="I144" ca="1">_xlfn.IFS(
    ABS(Fuel_prices[[#This Row],[%_change]])&gt;50,"SEVERE IMPACT",
    ABS(Fuel_prices[[#This Row],[%_change]])&gt;25,"HIGH IMPACT",
    ABS(Fuel_prices[[#This Row],[%_change]])&gt;5,"MID IMPACT",
    ABS(Fuel_prices[[#This Row],[%_change]])&lt;=5,"LITTLE IMPACT"
)</f>
        <v>LITTLE IMPACT</v>
      </c>
    </row>
    <row r="145" spans="1:9" x14ac:dyDescent="0.25">
      <c r="A145" s="4">
        <v>29921</v>
      </c>
      <c r="B145" s="6" t="str">
        <f>_xlfn.CONCAT("Q",CEILING(Fuel_prices[[#This Row],[Month]]/3,1))</f>
        <v>Q4</v>
      </c>
      <c r="C145" s="6">
        <f>MONTH(Fuel_prices[[#This Row],[Date]])</f>
        <v>12</v>
      </c>
      <c r="D145" s="6" t="str">
        <f>TEXT(Fuel_prices[[#This Row],[Date]],"mmm")</f>
        <v>Dec</v>
      </c>
      <c r="E145" s="6">
        <f>YEAR(Fuel_prices[[#This Row],[Date]])</f>
        <v>1981</v>
      </c>
      <c r="F145" s="5">
        <v>35.409999847409999</v>
      </c>
      <c r="G145" s="2">
        <f ca="1">ROUND(IFERROR((Fuel_prices[[#This Row],[Crude_Oil_Price]]-OFFSET(Fuel_prices[[#This Row],[Crude_Oil_Price]],-1,0)),0),2)</f>
        <v>-0.27</v>
      </c>
      <c r="H145" s="2">
        <f ca="1">ROUND((IFERROR((Fuel_prices[[#This Row],[Crude_Oil_Price]]-OFFSET(Fuel_prices[[#This Row],[Crude_Oil_Price]],-1,0))/(OFFSET(Fuel_prices[[#This Row],[Crude_Oil_Price]],-1,0)),0))*100,2)</f>
        <v>-0.76</v>
      </c>
      <c r="I145" s="2" t="str" cm="1">
        <f t="array" aca="1" ref="I145" ca="1">_xlfn.IFS(
    ABS(Fuel_prices[[#This Row],[%_change]])&gt;50,"SEVERE IMPACT",
    ABS(Fuel_prices[[#This Row],[%_change]])&gt;25,"HIGH IMPACT",
    ABS(Fuel_prices[[#This Row],[%_change]])&gt;5,"MID IMPACT",
    ABS(Fuel_prices[[#This Row],[%_change]])&lt;=5,"LITTLE IMPACT"
)</f>
        <v>LITTLE IMPACT</v>
      </c>
    </row>
    <row r="146" spans="1:9" x14ac:dyDescent="0.25">
      <c r="A146" s="4">
        <v>29952</v>
      </c>
      <c r="B146" s="6" t="str">
        <f>_xlfn.CONCAT("Q",CEILING(Fuel_prices[[#This Row],[Month]]/3,1))</f>
        <v>Q1</v>
      </c>
      <c r="C146" s="6">
        <f>MONTH(Fuel_prices[[#This Row],[Date]])</f>
        <v>1</v>
      </c>
      <c r="D146" s="6" t="str">
        <f>TEXT(Fuel_prices[[#This Row],[Date]],"mmm")</f>
        <v>Jan</v>
      </c>
      <c r="E146" s="6">
        <f>YEAR(Fuel_prices[[#This Row],[Date]])</f>
        <v>1982</v>
      </c>
      <c r="F146" s="5">
        <v>35.049999491370002</v>
      </c>
      <c r="G146" s="2">
        <f ca="1">ROUND(IFERROR((Fuel_prices[[#This Row],[Crude_Oil_Price]]-OFFSET(Fuel_prices[[#This Row],[Crude_Oil_Price]],-1,0)),0),2)</f>
        <v>-0.36</v>
      </c>
      <c r="H146" s="2">
        <f ca="1">ROUND((IFERROR((Fuel_prices[[#This Row],[Crude_Oil_Price]]-OFFSET(Fuel_prices[[#This Row],[Crude_Oil_Price]],-1,0))/(OFFSET(Fuel_prices[[#This Row],[Crude_Oil_Price]],-1,0)),0))*100,2)</f>
        <v>-1.02</v>
      </c>
      <c r="I146" s="2" t="str" cm="1">
        <f t="array" aca="1" ref="I146" ca="1">_xlfn.IFS(
    ABS(Fuel_prices[[#This Row],[%_change]])&gt;50,"SEVERE IMPACT",
    ABS(Fuel_prices[[#This Row],[%_change]])&gt;25,"HIGH IMPACT",
    ABS(Fuel_prices[[#This Row],[%_change]])&gt;5,"MID IMPACT",
    ABS(Fuel_prices[[#This Row],[%_change]])&lt;=5,"LITTLE IMPACT"
)</f>
        <v>LITTLE IMPACT</v>
      </c>
    </row>
    <row r="147" spans="1:9" x14ac:dyDescent="0.25">
      <c r="A147" s="4">
        <v>29983</v>
      </c>
      <c r="B147" s="6" t="str">
        <f>_xlfn.CONCAT("Q",CEILING(Fuel_prices[[#This Row],[Month]]/3,1))</f>
        <v>Q1</v>
      </c>
      <c r="C147" s="6">
        <f>MONTH(Fuel_prices[[#This Row],[Date]])</f>
        <v>2</v>
      </c>
      <c r="D147" s="6" t="str">
        <f>TEXT(Fuel_prices[[#This Row],[Date]],"mmm")</f>
        <v>Feb</v>
      </c>
      <c r="E147" s="6">
        <f>YEAR(Fuel_prices[[#This Row],[Date]])</f>
        <v>1982</v>
      </c>
      <c r="F147" s="5">
        <v>32.273333485919999</v>
      </c>
      <c r="G147" s="2">
        <f ca="1">ROUND(IFERROR((Fuel_prices[[#This Row],[Crude_Oil_Price]]-OFFSET(Fuel_prices[[#This Row],[Crude_Oil_Price]],-1,0)),0),2)</f>
        <v>-2.78</v>
      </c>
      <c r="H147" s="2">
        <f ca="1">ROUND((IFERROR((Fuel_prices[[#This Row],[Crude_Oil_Price]]-OFFSET(Fuel_prices[[#This Row],[Crude_Oil_Price]],-1,0))/(OFFSET(Fuel_prices[[#This Row],[Crude_Oil_Price]],-1,0)),0))*100,2)</f>
        <v>-7.92</v>
      </c>
      <c r="I147" s="2" t="str" cm="1">
        <f t="array" aca="1" ref="I147" ca="1">_xlfn.IFS(
    ABS(Fuel_prices[[#This Row],[%_change]])&gt;50,"SEVERE IMPACT",
    ABS(Fuel_prices[[#This Row],[%_change]])&gt;25,"HIGH IMPACT",
    ABS(Fuel_prices[[#This Row],[%_change]])&gt;5,"MID IMPACT",
    ABS(Fuel_prices[[#This Row],[%_change]])&lt;=5,"LITTLE IMPACT"
)</f>
        <v>MID IMPACT</v>
      </c>
    </row>
    <row r="148" spans="1:9" x14ac:dyDescent="0.25">
      <c r="A148" s="4">
        <v>30011</v>
      </c>
      <c r="B148" s="6" t="str">
        <f>_xlfn.CONCAT("Q",CEILING(Fuel_prices[[#This Row],[Month]]/3,1))</f>
        <v>Q1</v>
      </c>
      <c r="C148" s="6">
        <f>MONTH(Fuel_prices[[#This Row],[Date]])</f>
        <v>3</v>
      </c>
      <c r="D148" s="6" t="str">
        <f>TEXT(Fuel_prices[[#This Row],[Date]],"mmm")</f>
        <v>Mar</v>
      </c>
      <c r="E148" s="6">
        <f>YEAR(Fuel_prices[[#This Row],[Date]])</f>
        <v>1982</v>
      </c>
      <c r="F148" s="5">
        <v>30.16666653951</v>
      </c>
      <c r="G148" s="2">
        <f ca="1">ROUND(IFERROR((Fuel_prices[[#This Row],[Crude_Oil_Price]]-OFFSET(Fuel_prices[[#This Row],[Crude_Oil_Price]],-1,0)),0),2)</f>
        <v>-2.11</v>
      </c>
      <c r="H148" s="2">
        <f ca="1">ROUND((IFERROR((Fuel_prices[[#This Row],[Crude_Oil_Price]]-OFFSET(Fuel_prices[[#This Row],[Crude_Oil_Price]],-1,0))/(OFFSET(Fuel_prices[[#This Row],[Crude_Oil_Price]],-1,0)),0))*100,2)</f>
        <v>-6.53</v>
      </c>
      <c r="I148" s="2" t="str" cm="1">
        <f t="array" aca="1" ref="I148" ca="1">_xlfn.IFS(
    ABS(Fuel_prices[[#This Row],[%_change]])&gt;50,"SEVERE IMPACT",
    ABS(Fuel_prices[[#This Row],[%_change]])&gt;25,"HIGH IMPACT",
    ABS(Fuel_prices[[#This Row],[%_change]])&gt;5,"MID IMPACT",
    ABS(Fuel_prices[[#This Row],[%_change]])&lt;=5,"LITTLE IMPACT"
)</f>
        <v>MID IMPACT</v>
      </c>
    </row>
    <row r="149" spans="1:9" x14ac:dyDescent="0.25">
      <c r="A149" s="4">
        <v>30042</v>
      </c>
      <c r="B149" s="6" t="str">
        <f>_xlfn.CONCAT("Q",CEILING(Fuel_prices[[#This Row],[Month]]/3,1))</f>
        <v>Q2</v>
      </c>
      <c r="C149" s="6">
        <f>MONTH(Fuel_prices[[#This Row],[Date]])</f>
        <v>4</v>
      </c>
      <c r="D149" s="6" t="str">
        <f>TEXT(Fuel_prices[[#This Row],[Date]],"mmm")</f>
        <v>Apr</v>
      </c>
      <c r="E149" s="6">
        <f>YEAR(Fuel_prices[[#This Row],[Date]])</f>
        <v>1982</v>
      </c>
      <c r="F149" s="5">
        <v>31.56666603088</v>
      </c>
      <c r="G149" s="2">
        <f ca="1">ROUND(IFERROR((Fuel_prices[[#This Row],[Crude_Oil_Price]]-OFFSET(Fuel_prices[[#This Row],[Crude_Oil_Price]],-1,0)),0),2)</f>
        <v>1.4</v>
      </c>
      <c r="H149" s="2">
        <f ca="1">ROUND((IFERROR((Fuel_prices[[#This Row],[Crude_Oil_Price]]-OFFSET(Fuel_prices[[#This Row],[Crude_Oil_Price]],-1,0))/(OFFSET(Fuel_prices[[#This Row],[Crude_Oil_Price]],-1,0)),0))*100,2)</f>
        <v>4.6399999999999997</v>
      </c>
      <c r="I149" s="2" t="str" cm="1">
        <f t="array" aca="1" ref="I149" ca="1">_xlfn.IFS(
    ABS(Fuel_prices[[#This Row],[%_change]])&gt;50,"SEVERE IMPACT",
    ABS(Fuel_prices[[#This Row],[%_change]])&gt;25,"HIGH IMPACT",
    ABS(Fuel_prices[[#This Row],[%_change]])&gt;5,"MID IMPACT",
    ABS(Fuel_prices[[#This Row],[%_change]])&lt;=5,"LITTLE IMPACT"
)</f>
        <v>LITTLE IMPACT</v>
      </c>
    </row>
    <row r="150" spans="1:9" x14ac:dyDescent="0.25">
      <c r="A150" s="4">
        <v>30072</v>
      </c>
      <c r="B150" s="6" t="str">
        <f>_xlfn.CONCAT("Q",CEILING(Fuel_prices[[#This Row],[Month]]/3,1))</f>
        <v>Q2</v>
      </c>
      <c r="C150" s="6">
        <f>MONTH(Fuel_prices[[#This Row],[Date]])</f>
        <v>5</v>
      </c>
      <c r="D150" s="6" t="str">
        <f>TEXT(Fuel_prices[[#This Row],[Date]],"mmm")</f>
        <v>May</v>
      </c>
      <c r="E150" s="6">
        <f>YEAR(Fuel_prices[[#This Row],[Date]])</f>
        <v>1982</v>
      </c>
      <c r="F150" s="5">
        <v>33.043332926429997</v>
      </c>
      <c r="G150" s="2">
        <f ca="1">ROUND(IFERROR((Fuel_prices[[#This Row],[Crude_Oil_Price]]-OFFSET(Fuel_prices[[#This Row],[Crude_Oil_Price]],-1,0)),0),2)</f>
        <v>1.48</v>
      </c>
      <c r="H150" s="2">
        <f ca="1">ROUND((IFERROR((Fuel_prices[[#This Row],[Crude_Oil_Price]]-OFFSET(Fuel_prices[[#This Row],[Crude_Oil_Price]],-1,0))/(OFFSET(Fuel_prices[[#This Row],[Crude_Oil_Price]],-1,0)),0))*100,2)</f>
        <v>4.68</v>
      </c>
      <c r="I150" s="2" t="str" cm="1">
        <f t="array" aca="1" ref="I150" ca="1">_xlfn.IFS(
    ABS(Fuel_prices[[#This Row],[%_change]])&gt;50,"SEVERE IMPACT",
    ABS(Fuel_prices[[#This Row],[%_change]])&gt;25,"HIGH IMPACT",
    ABS(Fuel_prices[[#This Row],[%_change]])&gt;5,"MID IMPACT",
    ABS(Fuel_prices[[#This Row],[%_change]])&lt;=5,"LITTLE IMPACT"
)</f>
        <v>LITTLE IMPACT</v>
      </c>
    </row>
    <row r="151" spans="1:9" x14ac:dyDescent="0.25">
      <c r="A151" s="4">
        <v>30103</v>
      </c>
      <c r="B151" s="6" t="str">
        <f>_xlfn.CONCAT("Q",CEILING(Fuel_prices[[#This Row],[Month]]/3,1))</f>
        <v>Q2</v>
      </c>
      <c r="C151" s="6">
        <f>MONTH(Fuel_prices[[#This Row],[Date]])</f>
        <v>6</v>
      </c>
      <c r="D151" s="6" t="str">
        <f>TEXT(Fuel_prices[[#This Row],[Date]],"mmm")</f>
        <v>Jun</v>
      </c>
      <c r="E151" s="6">
        <f>YEAR(Fuel_prices[[#This Row],[Date]])</f>
        <v>1982</v>
      </c>
      <c r="F151" s="5">
        <v>32.766666666669998</v>
      </c>
      <c r="G151" s="2">
        <f ca="1">ROUND(IFERROR((Fuel_prices[[#This Row],[Crude_Oil_Price]]-OFFSET(Fuel_prices[[#This Row],[Crude_Oil_Price]],-1,0)),0),2)</f>
        <v>-0.28000000000000003</v>
      </c>
      <c r="H151" s="2">
        <f ca="1">ROUND((IFERROR((Fuel_prices[[#This Row],[Crude_Oil_Price]]-OFFSET(Fuel_prices[[#This Row],[Crude_Oil_Price]],-1,0))/(OFFSET(Fuel_prices[[#This Row],[Crude_Oil_Price]],-1,0)),0))*100,2)</f>
        <v>-0.84</v>
      </c>
      <c r="I151" s="2" t="str" cm="1">
        <f t="array" aca="1" ref="I151" ca="1">_xlfn.IFS(
    ABS(Fuel_prices[[#This Row],[%_change]])&gt;50,"SEVERE IMPACT",
    ABS(Fuel_prices[[#This Row],[%_change]])&gt;25,"HIGH IMPACT",
    ABS(Fuel_prices[[#This Row],[%_change]])&gt;5,"MID IMPACT",
    ABS(Fuel_prices[[#This Row],[%_change]])&lt;=5,"LITTLE IMPACT"
)</f>
        <v>LITTLE IMPACT</v>
      </c>
    </row>
    <row r="152" spans="1:9" x14ac:dyDescent="0.25">
      <c r="A152" s="4">
        <v>30133</v>
      </c>
      <c r="B152" s="6" t="str">
        <f>_xlfn.CONCAT("Q",CEILING(Fuel_prices[[#This Row],[Month]]/3,1))</f>
        <v>Q3</v>
      </c>
      <c r="C152" s="6">
        <f>MONTH(Fuel_prices[[#This Row],[Date]])</f>
        <v>7</v>
      </c>
      <c r="D152" s="6" t="str">
        <f>TEXT(Fuel_prices[[#This Row],[Date]],"mmm")</f>
        <v>Jul</v>
      </c>
      <c r="E152" s="6">
        <f>YEAR(Fuel_prices[[#This Row],[Date]])</f>
        <v>1982</v>
      </c>
      <c r="F152" s="5">
        <v>32.916667175290002</v>
      </c>
      <c r="G152" s="2">
        <f ca="1">ROUND(IFERROR((Fuel_prices[[#This Row],[Crude_Oil_Price]]-OFFSET(Fuel_prices[[#This Row],[Crude_Oil_Price]],-1,0)),0),2)</f>
        <v>0.15</v>
      </c>
      <c r="H152" s="2">
        <f ca="1">ROUND((IFERROR((Fuel_prices[[#This Row],[Crude_Oil_Price]]-OFFSET(Fuel_prices[[#This Row],[Crude_Oil_Price]],-1,0))/(OFFSET(Fuel_prices[[#This Row],[Crude_Oil_Price]],-1,0)),0))*100,2)</f>
        <v>0.46</v>
      </c>
      <c r="I152" s="2" t="str" cm="1">
        <f t="array" aca="1" ref="I152" ca="1">_xlfn.IFS(
    ABS(Fuel_prices[[#This Row],[%_change]])&gt;50,"SEVERE IMPACT",
    ABS(Fuel_prices[[#This Row],[%_change]])&gt;25,"HIGH IMPACT",
    ABS(Fuel_prices[[#This Row],[%_change]])&gt;5,"MID IMPACT",
    ABS(Fuel_prices[[#This Row],[%_change]])&lt;=5,"LITTLE IMPACT"
)</f>
        <v>LITTLE IMPACT</v>
      </c>
    </row>
    <row r="153" spans="1:9" x14ac:dyDescent="0.25">
      <c r="A153" s="4">
        <v>30164</v>
      </c>
      <c r="B153" s="6" t="str">
        <f>_xlfn.CONCAT("Q",CEILING(Fuel_prices[[#This Row],[Month]]/3,1))</f>
        <v>Q3</v>
      </c>
      <c r="C153" s="6">
        <f>MONTH(Fuel_prices[[#This Row],[Date]])</f>
        <v>8</v>
      </c>
      <c r="D153" s="6" t="str">
        <f>TEXT(Fuel_prices[[#This Row],[Date]],"mmm")</f>
        <v>Aug</v>
      </c>
      <c r="E153" s="6">
        <f>YEAR(Fuel_prices[[#This Row],[Date]])</f>
        <v>1982</v>
      </c>
      <c r="F153" s="5">
        <v>32.416666412349997</v>
      </c>
      <c r="G153" s="2">
        <f ca="1">ROUND(IFERROR((Fuel_prices[[#This Row],[Crude_Oil_Price]]-OFFSET(Fuel_prices[[#This Row],[Crude_Oil_Price]],-1,0)),0),2)</f>
        <v>-0.5</v>
      </c>
      <c r="H153" s="2">
        <f ca="1">ROUND((IFERROR((Fuel_prices[[#This Row],[Crude_Oil_Price]]-OFFSET(Fuel_prices[[#This Row],[Crude_Oil_Price]],-1,0))/(OFFSET(Fuel_prices[[#This Row],[Crude_Oil_Price]],-1,0)),0))*100,2)</f>
        <v>-1.52</v>
      </c>
      <c r="I153" s="2" t="str" cm="1">
        <f t="array" aca="1" ref="I153" ca="1">_xlfn.IFS(
    ABS(Fuel_prices[[#This Row],[%_change]])&gt;50,"SEVERE IMPACT",
    ABS(Fuel_prices[[#This Row],[%_change]])&gt;25,"HIGH IMPACT",
    ABS(Fuel_prices[[#This Row],[%_change]])&gt;5,"MID IMPACT",
    ABS(Fuel_prices[[#This Row],[%_change]])&lt;=5,"LITTLE IMPACT"
)</f>
        <v>LITTLE IMPACT</v>
      </c>
    </row>
    <row r="154" spans="1:9" x14ac:dyDescent="0.25">
      <c r="A154" s="4">
        <v>30195</v>
      </c>
      <c r="B154" s="6" t="str">
        <f>_xlfn.CONCAT("Q",CEILING(Fuel_prices[[#This Row],[Month]]/3,1))</f>
        <v>Q3</v>
      </c>
      <c r="C154" s="6">
        <f>MONTH(Fuel_prices[[#This Row],[Date]])</f>
        <v>9</v>
      </c>
      <c r="D154" s="6" t="str">
        <f>TEXT(Fuel_prices[[#This Row],[Date]],"mmm")</f>
        <v>Sep</v>
      </c>
      <c r="E154" s="6">
        <f>YEAR(Fuel_prices[[#This Row],[Date]])</f>
        <v>1982</v>
      </c>
      <c r="F154" s="5">
        <v>33.466666412350001</v>
      </c>
      <c r="G154" s="2">
        <f ca="1">ROUND(IFERROR((Fuel_prices[[#This Row],[Crude_Oil_Price]]-OFFSET(Fuel_prices[[#This Row],[Crude_Oil_Price]],-1,0)),0),2)</f>
        <v>1.05</v>
      </c>
      <c r="H154" s="2">
        <f ca="1">ROUND((IFERROR((Fuel_prices[[#This Row],[Crude_Oil_Price]]-OFFSET(Fuel_prices[[#This Row],[Crude_Oil_Price]],-1,0))/(OFFSET(Fuel_prices[[#This Row],[Crude_Oil_Price]],-1,0)),0))*100,2)</f>
        <v>3.24</v>
      </c>
      <c r="I154" s="2" t="str" cm="1">
        <f t="array" aca="1" ref="I154" ca="1">_xlfn.IFS(
    ABS(Fuel_prices[[#This Row],[%_change]])&gt;50,"SEVERE IMPACT",
    ABS(Fuel_prices[[#This Row],[%_change]])&gt;25,"HIGH IMPACT",
    ABS(Fuel_prices[[#This Row],[%_change]])&gt;5,"MID IMPACT",
    ABS(Fuel_prices[[#This Row],[%_change]])&lt;=5,"LITTLE IMPACT"
)</f>
        <v>LITTLE IMPACT</v>
      </c>
    </row>
    <row r="155" spans="1:9" x14ac:dyDescent="0.25">
      <c r="A155" s="4">
        <v>30225</v>
      </c>
      <c r="B155" s="6" t="str">
        <f>_xlfn.CONCAT("Q",CEILING(Fuel_prices[[#This Row],[Month]]/3,1))</f>
        <v>Q4</v>
      </c>
      <c r="C155" s="6">
        <f>MONTH(Fuel_prices[[#This Row],[Date]])</f>
        <v>10</v>
      </c>
      <c r="D155" s="6" t="str">
        <f>TEXT(Fuel_prices[[#This Row],[Date]],"mmm")</f>
        <v>Oct</v>
      </c>
      <c r="E155" s="6">
        <f>YEAR(Fuel_prices[[#This Row],[Date]])</f>
        <v>1982</v>
      </c>
      <c r="F155" s="5">
        <v>33.783333841960001</v>
      </c>
      <c r="G155" s="2">
        <f ca="1">ROUND(IFERROR((Fuel_prices[[#This Row],[Crude_Oil_Price]]-OFFSET(Fuel_prices[[#This Row],[Crude_Oil_Price]],-1,0)),0),2)</f>
        <v>0.32</v>
      </c>
      <c r="H155" s="2">
        <f ca="1">ROUND((IFERROR((Fuel_prices[[#This Row],[Crude_Oil_Price]]-OFFSET(Fuel_prices[[#This Row],[Crude_Oil_Price]],-1,0))/(OFFSET(Fuel_prices[[#This Row],[Crude_Oil_Price]],-1,0)),0))*100,2)</f>
        <v>0.95</v>
      </c>
      <c r="I155" s="2" t="str" cm="1">
        <f t="array" aca="1" ref="I155" ca="1">_xlfn.IFS(
    ABS(Fuel_prices[[#This Row],[%_change]])&gt;50,"SEVERE IMPACT",
    ABS(Fuel_prices[[#This Row],[%_change]])&gt;25,"HIGH IMPACT",
    ABS(Fuel_prices[[#This Row],[%_change]])&gt;5,"MID IMPACT",
    ABS(Fuel_prices[[#This Row],[%_change]])&lt;=5,"LITTLE IMPACT"
)</f>
        <v>LITTLE IMPACT</v>
      </c>
    </row>
    <row r="156" spans="1:9" x14ac:dyDescent="0.25">
      <c r="A156" s="4">
        <v>30256</v>
      </c>
      <c r="B156" s="6" t="str">
        <f>_xlfn.CONCAT("Q",CEILING(Fuel_prices[[#This Row],[Month]]/3,1))</f>
        <v>Q4</v>
      </c>
      <c r="C156" s="6">
        <f>MONTH(Fuel_prices[[#This Row],[Date]])</f>
        <v>11</v>
      </c>
      <c r="D156" s="6" t="str">
        <f>TEXT(Fuel_prices[[#This Row],[Date]],"mmm")</f>
        <v>Nov</v>
      </c>
      <c r="E156" s="6">
        <f>YEAR(Fuel_prices[[#This Row],[Date]])</f>
        <v>1982</v>
      </c>
      <c r="F156" s="5">
        <v>32.849999745689999</v>
      </c>
      <c r="G156" s="2">
        <f ca="1">ROUND(IFERROR((Fuel_prices[[#This Row],[Crude_Oil_Price]]-OFFSET(Fuel_prices[[#This Row],[Crude_Oil_Price]],-1,0)),0),2)</f>
        <v>-0.93</v>
      </c>
      <c r="H156" s="2">
        <f ca="1">ROUND((IFERROR((Fuel_prices[[#This Row],[Crude_Oil_Price]]-OFFSET(Fuel_prices[[#This Row],[Crude_Oil_Price]],-1,0))/(OFFSET(Fuel_prices[[#This Row],[Crude_Oil_Price]],-1,0)),0))*100,2)</f>
        <v>-2.76</v>
      </c>
      <c r="I156" s="2" t="str" cm="1">
        <f t="array" aca="1" ref="I156" ca="1">_xlfn.IFS(
    ABS(Fuel_prices[[#This Row],[%_change]])&gt;50,"SEVERE IMPACT",
    ABS(Fuel_prices[[#This Row],[%_change]])&gt;25,"HIGH IMPACT",
    ABS(Fuel_prices[[#This Row],[%_change]])&gt;5,"MID IMPACT",
    ABS(Fuel_prices[[#This Row],[%_change]])&lt;=5,"LITTLE IMPACT"
)</f>
        <v>LITTLE IMPACT</v>
      </c>
    </row>
    <row r="157" spans="1:9" x14ac:dyDescent="0.25">
      <c r="A157" s="4">
        <v>30286</v>
      </c>
      <c r="B157" s="6" t="str">
        <f>_xlfn.CONCAT("Q",CEILING(Fuel_prices[[#This Row],[Month]]/3,1))</f>
        <v>Q4</v>
      </c>
      <c r="C157" s="6">
        <f>MONTH(Fuel_prices[[#This Row],[Date]])</f>
        <v>12</v>
      </c>
      <c r="D157" s="6" t="str">
        <f>TEXT(Fuel_prices[[#This Row],[Date]],"mmm")</f>
        <v>Dec</v>
      </c>
      <c r="E157" s="6">
        <f>YEAR(Fuel_prices[[#This Row],[Date]])</f>
        <v>1982</v>
      </c>
      <c r="F157" s="5">
        <v>31.46666679382</v>
      </c>
      <c r="G157" s="2">
        <f ca="1">ROUND(IFERROR((Fuel_prices[[#This Row],[Crude_Oil_Price]]-OFFSET(Fuel_prices[[#This Row],[Crude_Oil_Price]],-1,0)),0),2)</f>
        <v>-1.38</v>
      </c>
      <c r="H157" s="2">
        <f ca="1">ROUND((IFERROR((Fuel_prices[[#This Row],[Crude_Oil_Price]]-OFFSET(Fuel_prices[[#This Row],[Crude_Oil_Price]],-1,0))/(OFFSET(Fuel_prices[[#This Row],[Crude_Oil_Price]],-1,0)),0))*100,2)</f>
        <v>-4.21</v>
      </c>
      <c r="I157" s="2" t="str" cm="1">
        <f t="array" aca="1" ref="I157" ca="1">_xlfn.IFS(
    ABS(Fuel_prices[[#This Row],[%_change]])&gt;50,"SEVERE IMPACT",
    ABS(Fuel_prices[[#This Row],[%_change]])&gt;25,"HIGH IMPACT",
    ABS(Fuel_prices[[#This Row],[%_change]])&gt;5,"MID IMPACT",
    ABS(Fuel_prices[[#This Row],[%_change]])&lt;=5,"LITTLE IMPACT"
)</f>
        <v>LITTLE IMPACT</v>
      </c>
    </row>
    <row r="158" spans="1:9" x14ac:dyDescent="0.25">
      <c r="A158" s="4">
        <v>30317</v>
      </c>
      <c r="B158" s="6" t="str">
        <f>_xlfn.CONCAT("Q",CEILING(Fuel_prices[[#This Row],[Month]]/3,1))</f>
        <v>Q1</v>
      </c>
      <c r="C158" s="6">
        <f>MONTH(Fuel_prices[[#This Row],[Date]])</f>
        <v>1</v>
      </c>
      <c r="D158" s="6" t="str">
        <f>TEXT(Fuel_prices[[#This Row],[Date]],"mmm")</f>
        <v>Jan</v>
      </c>
      <c r="E158" s="6">
        <f>YEAR(Fuel_prices[[#This Row],[Date]])</f>
        <v>1983</v>
      </c>
      <c r="F158" s="5">
        <v>30.653333028159999</v>
      </c>
      <c r="G158" s="2">
        <f ca="1">ROUND(IFERROR((Fuel_prices[[#This Row],[Crude_Oil_Price]]-OFFSET(Fuel_prices[[#This Row],[Crude_Oil_Price]],-1,0)),0),2)</f>
        <v>-0.81</v>
      </c>
      <c r="H158" s="2">
        <f ca="1">ROUND((IFERROR((Fuel_prices[[#This Row],[Crude_Oil_Price]]-OFFSET(Fuel_prices[[#This Row],[Crude_Oil_Price]],-1,0))/(OFFSET(Fuel_prices[[#This Row],[Crude_Oil_Price]],-1,0)),0))*100,2)</f>
        <v>-2.58</v>
      </c>
      <c r="I158" s="2" t="str" cm="1">
        <f t="array" aca="1" ref="I158" ca="1">_xlfn.IFS(
    ABS(Fuel_prices[[#This Row],[%_change]])&gt;50,"SEVERE IMPACT",
    ABS(Fuel_prices[[#This Row],[%_change]])&gt;25,"HIGH IMPACT",
    ABS(Fuel_prices[[#This Row],[%_change]])&gt;5,"MID IMPACT",
    ABS(Fuel_prices[[#This Row],[%_change]])&lt;=5,"LITTLE IMPACT"
)</f>
        <v>LITTLE IMPACT</v>
      </c>
    </row>
    <row r="159" spans="1:9" x14ac:dyDescent="0.25">
      <c r="A159" s="4">
        <v>30348</v>
      </c>
      <c r="B159" s="6" t="str">
        <f>_xlfn.CONCAT("Q",CEILING(Fuel_prices[[#This Row],[Month]]/3,1))</f>
        <v>Q1</v>
      </c>
      <c r="C159" s="6">
        <f>MONTH(Fuel_prices[[#This Row],[Date]])</f>
        <v>2</v>
      </c>
      <c r="D159" s="6" t="str">
        <f>TEXT(Fuel_prices[[#This Row],[Date]],"mmm")</f>
        <v>Feb</v>
      </c>
      <c r="E159" s="6">
        <f>YEAR(Fuel_prices[[#This Row],[Date]])</f>
        <v>1983</v>
      </c>
      <c r="F159" s="5">
        <v>29.113333384200001</v>
      </c>
      <c r="G159" s="2">
        <f ca="1">ROUND(IFERROR((Fuel_prices[[#This Row],[Crude_Oil_Price]]-OFFSET(Fuel_prices[[#This Row],[Crude_Oil_Price]],-1,0)),0),2)</f>
        <v>-1.54</v>
      </c>
      <c r="H159" s="2">
        <f ca="1">ROUND((IFERROR((Fuel_prices[[#This Row],[Crude_Oil_Price]]-OFFSET(Fuel_prices[[#This Row],[Crude_Oil_Price]],-1,0))/(OFFSET(Fuel_prices[[#This Row],[Crude_Oil_Price]],-1,0)),0))*100,2)</f>
        <v>-5.0199999999999996</v>
      </c>
      <c r="I159" s="2" t="str" cm="1">
        <f t="array" aca="1" ref="I159" ca="1">_xlfn.IFS(
    ABS(Fuel_prices[[#This Row],[%_change]])&gt;50,"SEVERE IMPACT",
    ABS(Fuel_prices[[#This Row],[%_change]])&gt;25,"HIGH IMPACT",
    ABS(Fuel_prices[[#This Row],[%_change]])&gt;5,"MID IMPACT",
    ABS(Fuel_prices[[#This Row],[%_change]])&lt;=5,"LITTLE IMPACT"
)</f>
        <v>MID IMPACT</v>
      </c>
    </row>
    <row r="160" spans="1:9" x14ac:dyDescent="0.25">
      <c r="A160" s="4">
        <v>30376</v>
      </c>
      <c r="B160" s="6" t="str">
        <f>_xlfn.CONCAT("Q",CEILING(Fuel_prices[[#This Row],[Month]]/3,1))</f>
        <v>Q1</v>
      </c>
      <c r="C160" s="6">
        <f>MONTH(Fuel_prices[[#This Row],[Date]])</f>
        <v>3</v>
      </c>
      <c r="D160" s="6" t="str">
        <f>TEXT(Fuel_prices[[#This Row],[Date]],"mmm")</f>
        <v>Mar</v>
      </c>
      <c r="E160" s="6">
        <f>YEAR(Fuel_prices[[#This Row],[Date]])</f>
        <v>1983</v>
      </c>
      <c r="F160" s="5">
        <v>28.32000033061</v>
      </c>
      <c r="G160" s="2">
        <f ca="1">ROUND(IFERROR((Fuel_prices[[#This Row],[Crude_Oil_Price]]-OFFSET(Fuel_prices[[#This Row],[Crude_Oil_Price]],-1,0)),0),2)</f>
        <v>-0.79</v>
      </c>
      <c r="H160" s="2">
        <f ca="1">ROUND((IFERROR((Fuel_prices[[#This Row],[Crude_Oil_Price]]-OFFSET(Fuel_prices[[#This Row],[Crude_Oil_Price]],-1,0))/(OFFSET(Fuel_prices[[#This Row],[Crude_Oil_Price]],-1,0)),0))*100,2)</f>
        <v>-2.72</v>
      </c>
      <c r="I160" s="2" t="str" cm="1">
        <f t="array" aca="1" ref="I160" ca="1">_xlfn.IFS(
    ABS(Fuel_prices[[#This Row],[%_change]])&gt;50,"SEVERE IMPACT",
    ABS(Fuel_prices[[#This Row],[%_change]])&gt;25,"HIGH IMPACT",
    ABS(Fuel_prices[[#This Row],[%_change]])&gt;5,"MID IMPACT",
    ABS(Fuel_prices[[#This Row],[%_change]])&lt;=5,"LITTLE IMPACT"
)</f>
        <v>LITTLE IMPACT</v>
      </c>
    </row>
    <row r="161" spans="1:9" x14ac:dyDescent="0.25">
      <c r="A161" s="4">
        <v>30407</v>
      </c>
      <c r="B161" s="6" t="str">
        <f>_xlfn.CONCAT("Q",CEILING(Fuel_prices[[#This Row],[Month]]/3,1))</f>
        <v>Q2</v>
      </c>
      <c r="C161" s="6">
        <f>MONTH(Fuel_prices[[#This Row],[Date]])</f>
        <v>4</v>
      </c>
      <c r="D161" s="6" t="str">
        <f>TEXT(Fuel_prices[[#This Row],[Date]],"mmm")</f>
        <v>Apr</v>
      </c>
      <c r="E161" s="6">
        <f>YEAR(Fuel_prices[[#This Row],[Date]])</f>
        <v>1983</v>
      </c>
      <c r="F161" s="5">
        <v>29.693333307900001</v>
      </c>
      <c r="G161" s="2">
        <f ca="1">ROUND(IFERROR((Fuel_prices[[#This Row],[Crude_Oil_Price]]-OFFSET(Fuel_prices[[#This Row],[Crude_Oil_Price]],-1,0)),0),2)</f>
        <v>1.37</v>
      </c>
      <c r="H161" s="2">
        <f ca="1">ROUND((IFERROR((Fuel_prices[[#This Row],[Crude_Oil_Price]]-OFFSET(Fuel_prices[[#This Row],[Crude_Oil_Price]],-1,0))/(OFFSET(Fuel_prices[[#This Row],[Crude_Oil_Price]],-1,0)),0))*100,2)</f>
        <v>4.8499999999999996</v>
      </c>
      <c r="I161" s="2" t="str" cm="1">
        <f t="array" aca="1" ref="I161" ca="1">_xlfn.IFS(
    ABS(Fuel_prices[[#This Row],[%_change]])&gt;50,"SEVERE IMPACT",
    ABS(Fuel_prices[[#This Row],[%_change]])&gt;25,"HIGH IMPACT",
    ABS(Fuel_prices[[#This Row],[%_change]])&gt;5,"MID IMPACT",
    ABS(Fuel_prices[[#This Row],[%_change]])&lt;=5,"LITTLE IMPACT"
)</f>
        <v>LITTLE IMPACT</v>
      </c>
    </row>
    <row r="162" spans="1:9" x14ac:dyDescent="0.25">
      <c r="A162" s="4">
        <v>30437</v>
      </c>
      <c r="B162" s="6" t="str">
        <f>_xlfn.CONCAT("Q",CEILING(Fuel_prices[[#This Row],[Month]]/3,1))</f>
        <v>Q2</v>
      </c>
      <c r="C162" s="6">
        <f>MONTH(Fuel_prices[[#This Row],[Date]])</f>
        <v>5</v>
      </c>
      <c r="D162" s="6" t="str">
        <f>TEXT(Fuel_prices[[#This Row],[Date]],"mmm")</f>
        <v>May</v>
      </c>
      <c r="E162" s="6">
        <f>YEAR(Fuel_prices[[#This Row],[Date]])</f>
        <v>1983</v>
      </c>
      <c r="F162" s="5">
        <v>29.359999974570002</v>
      </c>
      <c r="G162" s="2">
        <f ca="1">ROUND(IFERROR((Fuel_prices[[#This Row],[Crude_Oil_Price]]-OFFSET(Fuel_prices[[#This Row],[Crude_Oil_Price]],-1,0)),0),2)</f>
        <v>-0.33</v>
      </c>
      <c r="H162" s="2">
        <f ca="1">ROUND((IFERROR((Fuel_prices[[#This Row],[Crude_Oil_Price]]-OFFSET(Fuel_prices[[#This Row],[Crude_Oil_Price]],-1,0))/(OFFSET(Fuel_prices[[#This Row],[Crude_Oil_Price]],-1,0)),0))*100,2)</f>
        <v>-1.1200000000000001</v>
      </c>
      <c r="I162" s="2" t="str" cm="1">
        <f t="array" aca="1" ref="I162" ca="1">_xlfn.IFS(
    ABS(Fuel_prices[[#This Row],[%_change]])&gt;50,"SEVERE IMPACT",
    ABS(Fuel_prices[[#This Row],[%_change]])&gt;25,"HIGH IMPACT",
    ABS(Fuel_prices[[#This Row],[%_change]])&gt;5,"MID IMPACT",
    ABS(Fuel_prices[[#This Row],[%_change]])&lt;=5,"LITTLE IMPACT"
)</f>
        <v>LITTLE IMPACT</v>
      </c>
    </row>
    <row r="163" spans="1:9" x14ac:dyDescent="0.25">
      <c r="A163" s="4">
        <v>30468</v>
      </c>
      <c r="B163" s="6" t="str">
        <f>_xlfn.CONCAT("Q",CEILING(Fuel_prices[[#This Row],[Month]]/3,1))</f>
        <v>Q2</v>
      </c>
      <c r="C163" s="6">
        <f>MONTH(Fuel_prices[[#This Row],[Date]])</f>
        <v>6</v>
      </c>
      <c r="D163" s="6" t="str">
        <f>TEXT(Fuel_prices[[#This Row],[Date]],"mmm")</f>
        <v>Jun</v>
      </c>
      <c r="E163" s="6">
        <f>YEAR(Fuel_prices[[#This Row],[Date]])</f>
        <v>1983</v>
      </c>
      <c r="F163" s="5">
        <v>29.966667175289999</v>
      </c>
      <c r="G163" s="2">
        <f ca="1">ROUND(IFERROR((Fuel_prices[[#This Row],[Crude_Oil_Price]]-OFFSET(Fuel_prices[[#This Row],[Crude_Oil_Price]],-1,0)),0),2)</f>
        <v>0.61</v>
      </c>
      <c r="H163" s="2">
        <f ca="1">ROUND((IFERROR((Fuel_prices[[#This Row],[Crude_Oil_Price]]-OFFSET(Fuel_prices[[#This Row],[Crude_Oil_Price]],-1,0))/(OFFSET(Fuel_prices[[#This Row],[Crude_Oil_Price]],-1,0)),0))*100,2)</f>
        <v>2.0699999999999998</v>
      </c>
      <c r="I163" s="2" t="str" cm="1">
        <f t="array" aca="1" ref="I163" ca="1">_xlfn.IFS(
    ABS(Fuel_prices[[#This Row],[%_change]])&gt;50,"SEVERE IMPACT",
    ABS(Fuel_prices[[#This Row],[%_change]])&gt;25,"HIGH IMPACT",
    ABS(Fuel_prices[[#This Row],[%_change]])&gt;5,"MID IMPACT",
    ABS(Fuel_prices[[#This Row],[%_change]])&lt;=5,"LITTLE IMPACT"
)</f>
        <v>LITTLE IMPACT</v>
      </c>
    </row>
    <row r="164" spans="1:9" x14ac:dyDescent="0.25">
      <c r="A164" s="4">
        <v>30498</v>
      </c>
      <c r="B164" s="6" t="str">
        <f>_xlfn.CONCAT("Q",CEILING(Fuel_prices[[#This Row],[Month]]/3,1))</f>
        <v>Q3</v>
      </c>
      <c r="C164" s="6">
        <f>MONTH(Fuel_prices[[#This Row],[Date]])</f>
        <v>7</v>
      </c>
      <c r="D164" s="6" t="str">
        <f>TEXT(Fuel_prices[[#This Row],[Date]],"mmm")</f>
        <v>Jul</v>
      </c>
      <c r="E164" s="6">
        <f>YEAR(Fuel_prices[[#This Row],[Date]])</f>
        <v>1983</v>
      </c>
      <c r="F164" s="5">
        <v>30.466666539510001</v>
      </c>
      <c r="G164" s="2">
        <f ca="1">ROUND(IFERROR((Fuel_prices[[#This Row],[Crude_Oil_Price]]-OFFSET(Fuel_prices[[#This Row],[Crude_Oil_Price]],-1,0)),0),2)</f>
        <v>0.5</v>
      </c>
      <c r="H164" s="2">
        <f ca="1">ROUND((IFERROR((Fuel_prices[[#This Row],[Crude_Oil_Price]]-OFFSET(Fuel_prices[[#This Row],[Crude_Oil_Price]],-1,0))/(OFFSET(Fuel_prices[[#This Row],[Crude_Oil_Price]],-1,0)),0))*100,2)</f>
        <v>1.67</v>
      </c>
      <c r="I164" s="2" t="str" cm="1">
        <f t="array" aca="1" ref="I164" ca="1">_xlfn.IFS(
    ABS(Fuel_prices[[#This Row],[%_change]])&gt;50,"SEVERE IMPACT",
    ABS(Fuel_prices[[#This Row],[%_change]])&gt;25,"HIGH IMPACT",
    ABS(Fuel_prices[[#This Row],[%_change]])&gt;5,"MID IMPACT",
    ABS(Fuel_prices[[#This Row],[%_change]])&lt;=5,"LITTLE IMPACT"
)</f>
        <v>LITTLE IMPACT</v>
      </c>
    </row>
    <row r="165" spans="1:9" x14ac:dyDescent="0.25">
      <c r="A165" s="4">
        <v>30529</v>
      </c>
      <c r="B165" s="6" t="str">
        <f>_xlfn.CONCAT("Q",CEILING(Fuel_prices[[#This Row],[Month]]/3,1))</f>
        <v>Q3</v>
      </c>
      <c r="C165" s="6">
        <f>MONTH(Fuel_prices[[#This Row],[Date]])</f>
        <v>8</v>
      </c>
      <c r="D165" s="6" t="str">
        <f>TEXT(Fuel_prices[[#This Row],[Date]],"mmm")</f>
        <v>Aug</v>
      </c>
      <c r="E165" s="6">
        <f>YEAR(Fuel_prices[[#This Row],[Date]])</f>
        <v>1983</v>
      </c>
      <c r="F165" s="5">
        <v>30.653333028159999</v>
      </c>
      <c r="G165" s="2">
        <f ca="1">ROUND(IFERROR((Fuel_prices[[#This Row],[Crude_Oil_Price]]-OFFSET(Fuel_prices[[#This Row],[Crude_Oil_Price]],-1,0)),0),2)</f>
        <v>0.19</v>
      </c>
      <c r="H165" s="2">
        <f ca="1">ROUND((IFERROR((Fuel_prices[[#This Row],[Crude_Oil_Price]]-OFFSET(Fuel_prices[[#This Row],[Crude_Oil_Price]],-1,0))/(OFFSET(Fuel_prices[[#This Row],[Crude_Oil_Price]],-1,0)),0))*100,2)</f>
        <v>0.61</v>
      </c>
      <c r="I165" s="2" t="str" cm="1">
        <f t="array" aca="1" ref="I165" ca="1">_xlfn.IFS(
    ABS(Fuel_prices[[#This Row],[%_change]])&gt;50,"SEVERE IMPACT",
    ABS(Fuel_prices[[#This Row],[%_change]])&gt;25,"HIGH IMPACT",
    ABS(Fuel_prices[[#This Row],[%_change]])&gt;5,"MID IMPACT",
    ABS(Fuel_prices[[#This Row],[%_change]])&lt;=5,"LITTLE IMPACT"
)</f>
        <v>LITTLE IMPACT</v>
      </c>
    </row>
    <row r="166" spans="1:9" x14ac:dyDescent="0.25">
      <c r="A166" s="4">
        <v>30560</v>
      </c>
      <c r="B166" s="6" t="str">
        <f>_xlfn.CONCAT("Q",CEILING(Fuel_prices[[#This Row],[Month]]/3,1))</f>
        <v>Q3</v>
      </c>
      <c r="C166" s="6">
        <f>MONTH(Fuel_prices[[#This Row],[Date]])</f>
        <v>9</v>
      </c>
      <c r="D166" s="6" t="str">
        <f>TEXT(Fuel_prices[[#This Row],[Date]],"mmm")</f>
        <v>Sep</v>
      </c>
      <c r="E166" s="6">
        <f>YEAR(Fuel_prices[[#This Row],[Date]])</f>
        <v>1983</v>
      </c>
      <c r="F166" s="5">
        <v>30.07000033061</v>
      </c>
      <c r="G166" s="2">
        <f ca="1">ROUND(IFERROR((Fuel_prices[[#This Row],[Crude_Oil_Price]]-OFFSET(Fuel_prices[[#This Row],[Crude_Oil_Price]],-1,0)),0),2)</f>
        <v>-0.57999999999999996</v>
      </c>
      <c r="H166" s="2">
        <f ca="1">ROUND((IFERROR((Fuel_prices[[#This Row],[Crude_Oil_Price]]-OFFSET(Fuel_prices[[#This Row],[Crude_Oil_Price]],-1,0))/(OFFSET(Fuel_prices[[#This Row],[Crude_Oil_Price]],-1,0)),0))*100,2)</f>
        <v>-1.9</v>
      </c>
      <c r="I166" s="2" t="str" cm="1">
        <f t="array" aca="1" ref="I166" ca="1">_xlfn.IFS(
    ABS(Fuel_prices[[#This Row],[%_change]])&gt;50,"SEVERE IMPACT",
    ABS(Fuel_prices[[#This Row],[%_change]])&gt;25,"HIGH IMPACT",
    ABS(Fuel_prices[[#This Row],[%_change]])&gt;5,"MID IMPACT",
    ABS(Fuel_prices[[#This Row],[%_change]])&lt;=5,"LITTLE IMPACT"
)</f>
        <v>LITTLE IMPACT</v>
      </c>
    </row>
    <row r="167" spans="1:9" x14ac:dyDescent="0.25">
      <c r="A167" s="4">
        <v>30590</v>
      </c>
      <c r="B167" s="6" t="str">
        <f>_xlfn.CONCAT("Q",CEILING(Fuel_prices[[#This Row],[Month]]/3,1))</f>
        <v>Q4</v>
      </c>
      <c r="C167" s="6">
        <f>MONTH(Fuel_prices[[#This Row],[Date]])</f>
        <v>10</v>
      </c>
      <c r="D167" s="6" t="str">
        <f>TEXT(Fuel_prices[[#This Row],[Date]],"mmm")</f>
        <v>Oct</v>
      </c>
      <c r="E167" s="6">
        <f>YEAR(Fuel_prices[[#This Row],[Date]])</f>
        <v>1983</v>
      </c>
      <c r="F167" s="5">
        <v>29.616666793819999</v>
      </c>
      <c r="G167" s="2">
        <f ca="1">ROUND(IFERROR((Fuel_prices[[#This Row],[Crude_Oil_Price]]-OFFSET(Fuel_prices[[#This Row],[Crude_Oil_Price]],-1,0)),0),2)</f>
        <v>-0.45</v>
      </c>
      <c r="H167" s="2">
        <f ca="1">ROUND((IFERROR((Fuel_prices[[#This Row],[Crude_Oil_Price]]-OFFSET(Fuel_prices[[#This Row],[Crude_Oil_Price]],-1,0))/(OFFSET(Fuel_prices[[#This Row],[Crude_Oil_Price]],-1,0)),0))*100,2)</f>
        <v>-1.51</v>
      </c>
      <c r="I167" s="2" t="str" cm="1">
        <f t="array" aca="1" ref="I167" ca="1">_xlfn.IFS(
    ABS(Fuel_prices[[#This Row],[%_change]])&gt;50,"SEVERE IMPACT",
    ABS(Fuel_prices[[#This Row],[%_change]])&gt;25,"HIGH IMPACT",
    ABS(Fuel_prices[[#This Row],[%_change]])&gt;5,"MID IMPACT",
    ABS(Fuel_prices[[#This Row],[%_change]])&lt;=5,"LITTLE IMPACT"
)</f>
        <v>LITTLE IMPACT</v>
      </c>
    </row>
    <row r="168" spans="1:9" x14ac:dyDescent="0.25">
      <c r="A168" s="4">
        <v>30621</v>
      </c>
      <c r="B168" s="6" t="str">
        <f>_xlfn.CONCAT("Q",CEILING(Fuel_prices[[#This Row],[Month]]/3,1))</f>
        <v>Q4</v>
      </c>
      <c r="C168" s="6">
        <f>MONTH(Fuel_prices[[#This Row],[Date]])</f>
        <v>11</v>
      </c>
      <c r="D168" s="6" t="str">
        <f>TEXT(Fuel_prices[[#This Row],[Date]],"mmm")</f>
        <v>Nov</v>
      </c>
      <c r="E168" s="6">
        <f>YEAR(Fuel_prices[[#This Row],[Date]])</f>
        <v>1983</v>
      </c>
      <c r="F168" s="5">
        <v>29.16666666667</v>
      </c>
      <c r="G168" s="2">
        <f ca="1">ROUND(IFERROR((Fuel_prices[[#This Row],[Crude_Oil_Price]]-OFFSET(Fuel_prices[[#This Row],[Crude_Oil_Price]],-1,0)),0),2)</f>
        <v>-0.45</v>
      </c>
      <c r="H168" s="2">
        <f ca="1">ROUND((IFERROR((Fuel_prices[[#This Row],[Crude_Oil_Price]]-OFFSET(Fuel_prices[[#This Row],[Crude_Oil_Price]],-1,0))/(OFFSET(Fuel_prices[[#This Row],[Crude_Oil_Price]],-1,0)),0))*100,2)</f>
        <v>-1.52</v>
      </c>
      <c r="I168" s="2" t="str" cm="1">
        <f t="array" aca="1" ref="I168" ca="1">_xlfn.IFS(
    ABS(Fuel_prices[[#This Row],[%_change]])&gt;50,"SEVERE IMPACT",
    ABS(Fuel_prices[[#This Row],[%_change]])&gt;25,"HIGH IMPACT",
    ABS(Fuel_prices[[#This Row],[%_change]])&gt;5,"MID IMPACT",
    ABS(Fuel_prices[[#This Row],[%_change]])&lt;=5,"LITTLE IMPACT"
)</f>
        <v>LITTLE IMPACT</v>
      </c>
    </row>
    <row r="169" spans="1:9" x14ac:dyDescent="0.25">
      <c r="A169" s="4">
        <v>30651</v>
      </c>
      <c r="B169" s="6" t="str">
        <f>_xlfn.CONCAT("Q",CEILING(Fuel_prices[[#This Row],[Month]]/3,1))</f>
        <v>Q4</v>
      </c>
      <c r="C169" s="6">
        <f>MONTH(Fuel_prices[[#This Row],[Date]])</f>
        <v>12</v>
      </c>
      <c r="D169" s="6" t="str">
        <f>TEXT(Fuel_prices[[#This Row],[Date]],"mmm")</f>
        <v>Dec</v>
      </c>
      <c r="E169" s="6">
        <f>YEAR(Fuel_prices[[#This Row],[Date]])</f>
        <v>1983</v>
      </c>
      <c r="F169" s="5">
        <v>28.813333511349999</v>
      </c>
      <c r="G169" s="2">
        <f ca="1">ROUND(IFERROR((Fuel_prices[[#This Row],[Crude_Oil_Price]]-OFFSET(Fuel_prices[[#This Row],[Crude_Oil_Price]],-1,0)),0),2)</f>
        <v>-0.35</v>
      </c>
      <c r="H169" s="2">
        <f ca="1">ROUND((IFERROR((Fuel_prices[[#This Row],[Crude_Oil_Price]]-OFFSET(Fuel_prices[[#This Row],[Crude_Oil_Price]],-1,0))/(OFFSET(Fuel_prices[[#This Row],[Crude_Oil_Price]],-1,0)),0))*100,2)</f>
        <v>-1.21</v>
      </c>
      <c r="I169" s="2" t="str" cm="1">
        <f t="array" aca="1" ref="I169" ca="1">_xlfn.IFS(
    ABS(Fuel_prices[[#This Row],[%_change]])&gt;50,"SEVERE IMPACT",
    ABS(Fuel_prices[[#This Row],[%_change]])&gt;25,"HIGH IMPACT",
    ABS(Fuel_prices[[#This Row],[%_change]])&gt;5,"MID IMPACT",
    ABS(Fuel_prices[[#This Row],[%_change]])&lt;=5,"LITTLE IMPACT"
)</f>
        <v>LITTLE IMPACT</v>
      </c>
    </row>
    <row r="170" spans="1:9" x14ac:dyDescent="0.25">
      <c r="A170" s="4">
        <v>30682</v>
      </c>
      <c r="B170" s="6" t="str">
        <f>_xlfn.CONCAT("Q",CEILING(Fuel_prices[[#This Row],[Month]]/3,1))</f>
        <v>Q1</v>
      </c>
      <c r="C170" s="6">
        <f>MONTH(Fuel_prices[[#This Row],[Date]])</f>
        <v>1</v>
      </c>
      <c r="D170" s="6" t="str">
        <f>TEXT(Fuel_prices[[#This Row],[Date]],"mmm")</f>
        <v>Jan</v>
      </c>
      <c r="E170" s="6">
        <f>YEAR(Fuel_prices[[#This Row],[Date]])</f>
        <v>1984</v>
      </c>
      <c r="F170" s="5">
        <v>29.043333053590001</v>
      </c>
      <c r="G170" s="2">
        <f ca="1">ROUND(IFERROR((Fuel_prices[[#This Row],[Crude_Oil_Price]]-OFFSET(Fuel_prices[[#This Row],[Crude_Oil_Price]],-1,0)),0),2)</f>
        <v>0.23</v>
      </c>
      <c r="H170" s="2">
        <f ca="1">ROUND((IFERROR((Fuel_prices[[#This Row],[Crude_Oil_Price]]-OFFSET(Fuel_prices[[#This Row],[Crude_Oil_Price]],-1,0))/(OFFSET(Fuel_prices[[#This Row],[Crude_Oil_Price]],-1,0)),0))*100,2)</f>
        <v>0.8</v>
      </c>
      <c r="I170" s="2" t="str" cm="1">
        <f t="array" aca="1" ref="I170" ca="1">_xlfn.IFS(
    ABS(Fuel_prices[[#This Row],[%_change]])&gt;50,"SEVERE IMPACT",
    ABS(Fuel_prices[[#This Row],[%_change]])&gt;25,"HIGH IMPACT",
    ABS(Fuel_prices[[#This Row],[%_change]])&gt;5,"MID IMPACT",
    ABS(Fuel_prices[[#This Row],[%_change]])&lt;=5,"LITTLE IMPACT"
)</f>
        <v>LITTLE IMPACT</v>
      </c>
    </row>
    <row r="171" spans="1:9" x14ac:dyDescent="0.25">
      <c r="A171" s="4">
        <v>30713</v>
      </c>
      <c r="B171" s="6" t="str">
        <f>_xlfn.CONCAT("Q",CEILING(Fuel_prices[[#This Row],[Month]]/3,1))</f>
        <v>Q1</v>
      </c>
      <c r="C171" s="6">
        <f>MONTH(Fuel_prices[[#This Row],[Date]])</f>
        <v>2</v>
      </c>
      <c r="D171" s="6" t="str">
        <f>TEXT(Fuel_prices[[#This Row],[Date]],"mmm")</f>
        <v>Feb</v>
      </c>
      <c r="E171" s="6">
        <f>YEAR(Fuel_prices[[#This Row],[Date]])</f>
        <v>1984</v>
      </c>
      <c r="F171" s="5">
        <v>29.203332901</v>
      </c>
      <c r="G171" s="2">
        <f ca="1">ROUND(IFERROR((Fuel_prices[[#This Row],[Crude_Oil_Price]]-OFFSET(Fuel_prices[[#This Row],[Crude_Oil_Price]],-1,0)),0),2)</f>
        <v>0.16</v>
      </c>
      <c r="H171" s="2">
        <f ca="1">ROUND((IFERROR((Fuel_prices[[#This Row],[Crude_Oil_Price]]-OFFSET(Fuel_prices[[#This Row],[Crude_Oil_Price]],-1,0))/(OFFSET(Fuel_prices[[#This Row],[Crude_Oil_Price]],-1,0)),0))*100,2)</f>
        <v>0.55000000000000004</v>
      </c>
      <c r="I171" s="2" t="str" cm="1">
        <f t="array" aca="1" ref="I171" ca="1">_xlfn.IFS(
    ABS(Fuel_prices[[#This Row],[%_change]])&gt;50,"SEVERE IMPACT",
    ABS(Fuel_prices[[#This Row],[%_change]])&gt;25,"HIGH IMPACT",
    ABS(Fuel_prices[[#This Row],[%_change]])&gt;5,"MID IMPACT",
    ABS(Fuel_prices[[#This Row],[%_change]])&lt;=5,"LITTLE IMPACT"
)</f>
        <v>LITTLE IMPACT</v>
      </c>
    </row>
    <row r="172" spans="1:9" x14ac:dyDescent="0.25">
      <c r="A172" s="4">
        <v>30742</v>
      </c>
      <c r="B172" s="6" t="str">
        <f>_xlfn.CONCAT("Q",CEILING(Fuel_prices[[#This Row],[Month]]/3,1))</f>
        <v>Q1</v>
      </c>
      <c r="C172" s="6">
        <f>MONTH(Fuel_prices[[#This Row],[Date]])</f>
        <v>3</v>
      </c>
      <c r="D172" s="6" t="str">
        <f>TEXT(Fuel_prices[[#This Row],[Date]],"mmm")</f>
        <v>Mar</v>
      </c>
      <c r="E172" s="6">
        <f>YEAR(Fuel_prices[[#This Row],[Date]])</f>
        <v>1984</v>
      </c>
      <c r="F172" s="5">
        <v>29.533333460489999</v>
      </c>
      <c r="G172" s="2">
        <f ca="1">ROUND(IFERROR((Fuel_prices[[#This Row],[Crude_Oil_Price]]-OFFSET(Fuel_prices[[#This Row],[Crude_Oil_Price]],-1,0)),0),2)</f>
        <v>0.33</v>
      </c>
      <c r="H172" s="2">
        <f ca="1">ROUND((IFERROR((Fuel_prices[[#This Row],[Crude_Oil_Price]]-OFFSET(Fuel_prices[[#This Row],[Crude_Oil_Price]],-1,0))/(OFFSET(Fuel_prices[[#This Row],[Crude_Oil_Price]],-1,0)),0))*100,2)</f>
        <v>1.1299999999999999</v>
      </c>
      <c r="I172" s="2" t="str" cm="1">
        <f t="array" aca="1" ref="I172" ca="1">_xlfn.IFS(
    ABS(Fuel_prices[[#This Row],[%_change]])&gt;50,"SEVERE IMPACT",
    ABS(Fuel_prices[[#This Row],[%_change]])&gt;25,"HIGH IMPACT",
    ABS(Fuel_prices[[#This Row],[%_change]])&gt;5,"MID IMPACT",
    ABS(Fuel_prices[[#This Row],[%_change]])&lt;=5,"LITTLE IMPACT"
)</f>
        <v>LITTLE IMPACT</v>
      </c>
    </row>
    <row r="173" spans="1:9" x14ac:dyDescent="0.25">
      <c r="A173" s="4">
        <v>30773</v>
      </c>
      <c r="B173" s="6" t="str">
        <f>_xlfn.CONCAT("Q",CEILING(Fuel_prices[[#This Row],[Month]]/3,1))</f>
        <v>Q2</v>
      </c>
      <c r="C173" s="6">
        <f>MONTH(Fuel_prices[[#This Row],[Date]])</f>
        <v>4</v>
      </c>
      <c r="D173" s="6" t="str">
        <f>TEXT(Fuel_prices[[#This Row],[Date]],"mmm")</f>
        <v>Apr</v>
      </c>
      <c r="E173" s="6">
        <f>YEAR(Fuel_prices[[#This Row],[Date]])</f>
        <v>1984</v>
      </c>
      <c r="F173" s="5">
        <v>29.573332468669999</v>
      </c>
      <c r="G173" s="2">
        <f ca="1">ROUND(IFERROR((Fuel_prices[[#This Row],[Crude_Oil_Price]]-OFFSET(Fuel_prices[[#This Row],[Crude_Oil_Price]],-1,0)),0),2)</f>
        <v>0.04</v>
      </c>
      <c r="H173" s="2">
        <f ca="1">ROUND((IFERROR((Fuel_prices[[#This Row],[Crude_Oil_Price]]-OFFSET(Fuel_prices[[#This Row],[Crude_Oil_Price]],-1,0))/(OFFSET(Fuel_prices[[#This Row],[Crude_Oil_Price]],-1,0)),0))*100,2)</f>
        <v>0.14000000000000001</v>
      </c>
      <c r="I173" s="2" t="str" cm="1">
        <f t="array" aca="1" ref="I173" ca="1">_xlfn.IFS(
    ABS(Fuel_prices[[#This Row],[%_change]])&gt;50,"SEVERE IMPACT",
    ABS(Fuel_prices[[#This Row],[%_change]])&gt;25,"HIGH IMPACT",
    ABS(Fuel_prices[[#This Row],[%_change]])&gt;5,"MID IMPACT",
    ABS(Fuel_prices[[#This Row],[%_change]])&lt;=5,"LITTLE IMPACT"
)</f>
        <v>LITTLE IMPACT</v>
      </c>
    </row>
    <row r="174" spans="1:9" x14ac:dyDescent="0.25">
      <c r="A174" s="4">
        <v>30803</v>
      </c>
      <c r="B174" s="6" t="str">
        <f>_xlfn.CONCAT("Q",CEILING(Fuel_prices[[#This Row],[Month]]/3,1))</f>
        <v>Q2</v>
      </c>
      <c r="C174" s="6">
        <f>MONTH(Fuel_prices[[#This Row],[Date]])</f>
        <v>5</v>
      </c>
      <c r="D174" s="6" t="str">
        <f>TEXT(Fuel_prices[[#This Row],[Date]],"mmm")</f>
        <v>May</v>
      </c>
      <c r="E174" s="6">
        <f>YEAR(Fuel_prices[[#This Row],[Date]])</f>
        <v>1984</v>
      </c>
      <c r="F174" s="5">
        <v>29.460000356039998</v>
      </c>
      <c r="G174" s="2">
        <f ca="1">ROUND(IFERROR((Fuel_prices[[#This Row],[Crude_Oil_Price]]-OFFSET(Fuel_prices[[#This Row],[Crude_Oil_Price]],-1,0)),0),2)</f>
        <v>-0.11</v>
      </c>
      <c r="H174" s="2">
        <f ca="1">ROUND((IFERROR((Fuel_prices[[#This Row],[Crude_Oil_Price]]-OFFSET(Fuel_prices[[#This Row],[Crude_Oil_Price]],-1,0))/(OFFSET(Fuel_prices[[#This Row],[Crude_Oil_Price]],-1,0)),0))*100,2)</f>
        <v>-0.38</v>
      </c>
      <c r="I174" s="2" t="str" cm="1">
        <f t="array" aca="1" ref="I174" ca="1">_xlfn.IFS(
    ABS(Fuel_prices[[#This Row],[%_change]])&gt;50,"SEVERE IMPACT",
    ABS(Fuel_prices[[#This Row],[%_change]])&gt;25,"HIGH IMPACT",
    ABS(Fuel_prices[[#This Row],[%_change]])&gt;5,"MID IMPACT",
    ABS(Fuel_prices[[#This Row],[%_change]])&lt;=5,"LITTLE IMPACT"
)</f>
        <v>LITTLE IMPACT</v>
      </c>
    </row>
    <row r="175" spans="1:9" x14ac:dyDescent="0.25">
      <c r="A175" s="4">
        <v>30834</v>
      </c>
      <c r="B175" s="6" t="str">
        <f>_xlfn.CONCAT("Q",CEILING(Fuel_prices[[#This Row],[Month]]/3,1))</f>
        <v>Q2</v>
      </c>
      <c r="C175" s="6">
        <f>MONTH(Fuel_prices[[#This Row],[Date]])</f>
        <v>6</v>
      </c>
      <c r="D175" s="6" t="str">
        <f>TEXT(Fuel_prices[[#This Row],[Date]],"mmm")</f>
        <v>Jun</v>
      </c>
      <c r="E175" s="6">
        <f>YEAR(Fuel_prices[[#This Row],[Date]])</f>
        <v>1984</v>
      </c>
      <c r="F175" s="5">
        <v>29.050000508629999</v>
      </c>
      <c r="G175" s="2">
        <f ca="1">ROUND(IFERROR((Fuel_prices[[#This Row],[Crude_Oil_Price]]-OFFSET(Fuel_prices[[#This Row],[Crude_Oil_Price]],-1,0)),0),2)</f>
        <v>-0.41</v>
      </c>
      <c r="H175" s="2">
        <f ca="1">ROUND((IFERROR((Fuel_prices[[#This Row],[Crude_Oil_Price]]-OFFSET(Fuel_prices[[#This Row],[Crude_Oil_Price]],-1,0))/(OFFSET(Fuel_prices[[#This Row],[Crude_Oil_Price]],-1,0)),0))*100,2)</f>
        <v>-1.39</v>
      </c>
      <c r="I175" s="2" t="str" cm="1">
        <f t="array" aca="1" ref="I175" ca="1">_xlfn.IFS(
    ABS(Fuel_prices[[#This Row],[%_change]])&gt;50,"SEVERE IMPACT",
    ABS(Fuel_prices[[#This Row],[%_change]])&gt;25,"HIGH IMPACT",
    ABS(Fuel_prices[[#This Row],[%_change]])&gt;5,"MID IMPACT",
    ABS(Fuel_prices[[#This Row],[%_change]])&lt;=5,"LITTLE IMPACT"
)</f>
        <v>LITTLE IMPACT</v>
      </c>
    </row>
    <row r="176" spans="1:9" x14ac:dyDescent="0.25">
      <c r="A176" s="4">
        <v>30864</v>
      </c>
      <c r="B176" s="6" t="str">
        <f>_xlfn.CONCAT("Q",CEILING(Fuel_prices[[#This Row],[Month]]/3,1))</f>
        <v>Q3</v>
      </c>
      <c r="C176" s="6">
        <f>MONTH(Fuel_prices[[#This Row],[Date]])</f>
        <v>7</v>
      </c>
      <c r="D176" s="6" t="str">
        <f>TEXT(Fuel_prices[[#This Row],[Date]],"mmm")</f>
        <v>Jul</v>
      </c>
      <c r="E176" s="6">
        <f>YEAR(Fuel_prices[[#This Row],[Date]])</f>
        <v>1984</v>
      </c>
      <c r="F176" s="5">
        <v>27.98666699727</v>
      </c>
      <c r="G176" s="2">
        <f ca="1">ROUND(IFERROR((Fuel_prices[[#This Row],[Crude_Oil_Price]]-OFFSET(Fuel_prices[[#This Row],[Crude_Oil_Price]],-1,0)),0),2)</f>
        <v>-1.06</v>
      </c>
      <c r="H176" s="2">
        <f ca="1">ROUND((IFERROR((Fuel_prices[[#This Row],[Crude_Oil_Price]]-OFFSET(Fuel_prices[[#This Row],[Crude_Oil_Price]],-1,0))/(OFFSET(Fuel_prices[[#This Row],[Crude_Oil_Price]],-1,0)),0))*100,2)</f>
        <v>-3.66</v>
      </c>
      <c r="I176" s="2" t="str" cm="1">
        <f t="array" aca="1" ref="I176" ca="1">_xlfn.IFS(
    ABS(Fuel_prices[[#This Row],[%_change]])&gt;50,"SEVERE IMPACT",
    ABS(Fuel_prices[[#This Row],[%_change]])&gt;25,"HIGH IMPACT",
    ABS(Fuel_prices[[#This Row],[%_change]])&gt;5,"MID IMPACT",
    ABS(Fuel_prices[[#This Row],[%_change]])&lt;=5,"LITTLE IMPACT"
)</f>
        <v>LITTLE IMPACT</v>
      </c>
    </row>
    <row r="177" spans="1:9" x14ac:dyDescent="0.25">
      <c r="A177" s="4">
        <v>30895</v>
      </c>
      <c r="B177" s="6" t="str">
        <f>_xlfn.CONCAT("Q",CEILING(Fuel_prices[[#This Row],[Month]]/3,1))</f>
        <v>Q3</v>
      </c>
      <c r="C177" s="6">
        <f>MONTH(Fuel_prices[[#This Row],[Date]])</f>
        <v>8</v>
      </c>
      <c r="D177" s="6" t="str">
        <f>TEXT(Fuel_prices[[#This Row],[Date]],"mmm")</f>
        <v>Aug</v>
      </c>
      <c r="E177" s="6">
        <f>YEAR(Fuel_prices[[#This Row],[Date]])</f>
        <v>1984</v>
      </c>
      <c r="F177" s="5">
        <v>28.170000076289998</v>
      </c>
      <c r="G177" s="2">
        <f ca="1">ROUND(IFERROR((Fuel_prices[[#This Row],[Crude_Oil_Price]]-OFFSET(Fuel_prices[[#This Row],[Crude_Oil_Price]],-1,0)),0),2)</f>
        <v>0.18</v>
      </c>
      <c r="H177" s="2">
        <f ca="1">ROUND((IFERROR((Fuel_prices[[#This Row],[Crude_Oil_Price]]-OFFSET(Fuel_prices[[#This Row],[Crude_Oil_Price]],-1,0))/(OFFSET(Fuel_prices[[#This Row],[Crude_Oil_Price]],-1,0)),0))*100,2)</f>
        <v>0.66</v>
      </c>
      <c r="I177" s="2" t="str" cm="1">
        <f t="array" aca="1" ref="I177" ca="1">_xlfn.IFS(
    ABS(Fuel_prices[[#This Row],[%_change]])&gt;50,"SEVERE IMPACT",
    ABS(Fuel_prices[[#This Row],[%_change]])&gt;25,"HIGH IMPACT",
    ABS(Fuel_prices[[#This Row],[%_change]])&gt;5,"MID IMPACT",
    ABS(Fuel_prices[[#This Row],[%_change]])&lt;=5,"LITTLE IMPACT"
)</f>
        <v>LITTLE IMPACT</v>
      </c>
    </row>
    <row r="178" spans="1:9" x14ac:dyDescent="0.25">
      <c r="A178" s="4">
        <v>30926</v>
      </c>
      <c r="B178" s="6" t="str">
        <f>_xlfn.CONCAT("Q",CEILING(Fuel_prices[[#This Row],[Month]]/3,1))</f>
        <v>Q3</v>
      </c>
      <c r="C178" s="6">
        <f>MONTH(Fuel_prices[[#This Row],[Date]])</f>
        <v>9</v>
      </c>
      <c r="D178" s="6" t="str">
        <f>TEXT(Fuel_prices[[#This Row],[Date]],"mmm")</f>
        <v>Sep</v>
      </c>
      <c r="E178" s="6">
        <f>YEAR(Fuel_prices[[#This Row],[Date]])</f>
        <v>1984</v>
      </c>
      <c r="F178" s="5">
        <v>28.353333155310001</v>
      </c>
      <c r="G178" s="2">
        <f ca="1">ROUND(IFERROR((Fuel_prices[[#This Row],[Crude_Oil_Price]]-OFFSET(Fuel_prices[[#This Row],[Crude_Oil_Price]],-1,0)),0),2)</f>
        <v>0.18</v>
      </c>
      <c r="H178" s="2">
        <f ca="1">ROUND((IFERROR((Fuel_prices[[#This Row],[Crude_Oil_Price]]-OFFSET(Fuel_prices[[#This Row],[Crude_Oil_Price]],-1,0))/(OFFSET(Fuel_prices[[#This Row],[Crude_Oil_Price]],-1,0)),0))*100,2)</f>
        <v>0.65</v>
      </c>
      <c r="I178" s="2" t="str" cm="1">
        <f t="array" aca="1" ref="I178" ca="1">_xlfn.IFS(
    ABS(Fuel_prices[[#This Row],[%_change]])&gt;50,"SEVERE IMPACT",
    ABS(Fuel_prices[[#This Row],[%_change]])&gt;25,"HIGH IMPACT",
    ABS(Fuel_prices[[#This Row],[%_change]])&gt;5,"MID IMPACT",
    ABS(Fuel_prices[[#This Row],[%_change]])&lt;=5,"LITTLE IMPACT"
)</f>
        <v>LITTLE IMPACT</v>
      </c>
    </row>
    <row r="179" spans="1:9" x14ac:dyDescent="0.25">
      <c r="A179" s="4">
        <v>30956</v>
      </c>
      <c r="B179" s="6" t="str">
        <f>_xlfn.CONCAT("Q",CEILING(Fuel_prices[[#This Row],[Month]]/3,1))</f>
        <v>Q4</v>
      </c>
      <c r="C179" s="6">
        <f>MONTH(Fuel_prices[[#This Row],[Date]])</f>
        <v>10</v>
      </c>
      <c r="D179" s="6" t="str">
        <f>TEXT(Fuel_prices[[#This Row],[Date]],"mmm")</f>
        <v>Oct</v>
      </c>
      <c r="E179" s="6">
        <f>YEAR(Fuel_prices[[#This Row],[Date]])</f>
        <v>1984</v>
      </c>
      <c r="F179" s="5">
        <v>27.853333155310001</v>
      </c>
      <c r="G179" s="2">
        <f ca="1">ROUND(IFERROR((Fuel_prices[[#This Row],[Crude_Oil_Price]]-OFFSET(Fuel_prices[[#This Row],[Crude_Oil_Price]],-1,0)),0),2)</f>
        <v>-0.5</v>
      </c>
      <c r="H179" s="2">
        <f ca="1">ROUND((IFERROR((Fuel_prices[[#This Row],[Crude_Oil_Price]]-OFFSET(Fuel_prices[[#This Row],[Crude_Oil_Price]],-1,0))/(OFFSET(Fuel_prices[[#This Row],[Crude_Oil_Price]],-1,0)),0))*100,2)</f>
        <v>-1.76</v>
      </c>
      <c r="I179" s="2" t="str" cm="1">
        <f t="array" aca="1" ref="I179" ca="1">_xlfn.IFS(
    ABS(Fuel_prices[[#This Row],[%_change]])&gt;50,"SEVERE IMPACT",
    ABS(Fuel_prices[[#This Row],[%_change]])&gt;25,"HIGH IMPACT",
    ABS(Fuel_prices[[#This Row],[%_change]])&gt;5,"MID IMPACT",
    ABS(Fuel_prices[[#This Row],[%_change]])&lt;=5,"LITTLE IMPACT"
)</f>
        <v>LITTLE IMPACT</v>
      </c>
    </row>
    <row r="180" spans="1:9" x14ac:dyDescent="0.25">
      <c r="A180" s="4">
        <v>30987</v>
      </c>
      <c r="B180" s="6" t="str">
        <f>_xlfn.CONCAT("Q",CEILING(Fuel_prices[[#This Row],[Month]]/3,1))</f>
        <v>Q4</v>
      </c>
      <c r="C180" s="6">
        <f>MONTH(Fuel_prices[[#This Row],[Date]])</f>
        <v>11</v>
      </c>
      <c r="D180" s="6" t="str">
        <f>TEXT(Fuel_prices[[#This Row],[Date]],"mmm")</f>
        <v>Nov</v>
      </c>
      <c r="E180" s="6">
        <f>YEAR(Fuel_prices[[#This Row],[Date]])</f>
        <v>1984</v>
      </c>
      <c r="F180" s="5">
        <v>27.650000254310001</v>
      </c>
      <c r="G180" s="2">
        <f ca="1">ROUND(IFERROR((Fuel_prices[[#This Row],[Crude_Oil_Price]]-OFFSET(Fuel_prices[[#This Row],[Crude_Oil_Price]],-1,0)),0),2)</f>
        <v>-0.2</v>
      </c>
      <c r="H180" s="2">
        <f ca="1">ROUND((IFERROR((Fuel_prices[[#This Row],[Crude_Oil_Price]]-OFFSET(Fuel_prices[[#This Row],[Crude_Oil_Price]],-1,0))/(OFFSET(Fuel_prices[[#This Row],[Crude_Oil_Price]],-1,0)),0))*100,2)</f>
        <v>-0.73</v>
      </c>
      <c r="I180" s="2" t="str" cm="1">
        <f t="array" aca="1" ref="I180" ca="1">_xlfn.IFS(
    ABS(Fuel_prices[[#This Row],[%_change]])&gt;50,"SEVERE IMPACT",
    ABS(Fuel_prices[[#This Row],[%_change]])&gt;25,"HIGH IMPACT",
    ABS(Fuel_prices[[#This Row],[%_change]])&gt;5,"MID IMPACT",
    ABS(Fuel_prices[[#This Row],[%_change]])&lt;=5,"LITTLE IMPACT"
)</f>
        <v>LITTLE IMPACT</v>
      </c>
    </row>
    <row r="181" spans="1:9" x14ac:dyDescent="0.25">
      <c r="A181" s="4">
        <v>31017</v>
      </c>
      <c r="B181" s="6" t="str">
        <f>_xlfn.CONCAT("Q",CEILING(Fuel_prices[[#This Row],[Month]]/3,1))</f>
        <v>Q4</v>
      </c>
      <c r="C181" s="6">
        <f>MONTH(Fuel_prices[[#This Row],[Date]])</f>
        <v>12</v>
      </c>
      <c r="D181" s="6" t="str">
        <f>TEXT(Fuel_prices[[#This Row],[Date]],"mmm")</f>
        <v>Dec</v>
      </c>
      <c r="E181" s="6">
        <f>YEAR(Fuel_prices[[#This Row],[Date]])</f>
        <v>1984</v>
      </c>
      <c r="F181" s="5">
        <v>26.813333511349999</v>
      </c>
      <c r="G181" s="2">
        <f ca="1">ROUND(IFERROR((Fuel_prices[[#This Row],[Crude_Oil_Price]]-OFFSET(Fuel_prices[[#This Row],[Crude_Oil_Price]],-1,0)),0),2)</f>
        <v>-0.84</v>
      </c>
      <c r="H181" s="2">
        <f ca="1">ROUND((IFERROR((Fuel_prices[[#This Row],[Crude_Oil_Price]]-OFFSET(Fuel_prices[[#This Row],[Crude_Oil_Price]],-1,0))/(OFFSET(Fuel_prices[[#This Row],[Crude_Oil_Price]],-1,0)),0))*100,2)</f>
        <v>-3.03</v>
      </c>
      <c r="I181" s="2" t="str" cm="1">
        <f t="array" aca="1" ref="I181" ca="1">_xlfn.IFS(
    ABS(Fuel_prices[[#This Row],[%_change]])&gt;50,"SEVERE IMPACT",
    ABS(Fuel_prices[[#This Row],[%_change]])&gt;25,"HIGH IMPACT",
    ABS(Fuel_prices[[#This Row],[%_change]])&gt;5,"MID IMPACT",
    ABS(Fuel_prices[[#This Row],[%_change]])&lt;=5,"LITTLE IMPACT"
)</f>
        <v>LITTLE IMPACT</v>
      </c>
    </row>
    <row r="182" spans="1:9" x14ac:dyDescent="0.25">
      <c r="A182" s="4">
        <v>31048</v>
      </c>
      <c r="B182" s="6" t="str">
        <f>_xlfn.CONCAT("Q",CEILING(Fuel_prices[[#This Row],[Month]]/3,1))</f>
        <v>Q1</v>
      </c>
      <c r="C182" s="6">
        <f>MONTH(Fuel_prices[[#This Row],[Date]])</f>
        <v>1</v>
      </c>
      <c r="D182" s="6" t="str">
        <f>TEXT(Fuel_prices[[#This Row],[Date]],"mmm")</f>
        <v>Jan</v>
      </c>
      <c r="E182" s="6">
        <f>YEAR(Fuel_prices[[#This Row],[Date]])</f>
        <v>1985</v>
      </c>
      <c r="F182" s="5">
        <v>26.63333333333</v>
      </c>
      <c r="G182" s="2">
        <f ca="1">ROUND(IFERROR((Fuel_prices[[#This Row],[Crude_Oil_Price]]-OFFSET(Fuel_prices[[#This Row],[Crude_Oil_Price]],-1,0)),0),2)</f>
        <v>-0.18</v>
      </c>
      <c r="H182" s="2">
        <f ca="1">ROUND((IFERROR((Fuel_prices[[#This Row],[Crude_Oil_Price]]-OFFSET(Fuel_prices[[#This Row],[Crude_Oil_Price]],-1,0))/(OFFSET(Fuel_prices[[#This Row],[Crude_Oil_Price]],-1,0)),0))*100,2)</f>
        <v>-0.67</v>
      </c>
      <c r="I182" s="2" t="str" cm="1">
        <f t="array" aca="1" ref="I182" ca="1">_xlfn.IFS(
    ABS(Fuel_prices[[#This Row],[%_change]])&gt;50,"SEVERE IMPACT",
    ABS(Fuel_prices[[#This Row],[%_change]])&gt;25,"HIGH IMPACT",
    ABS(Fuel_prices[[#This Row],[%_change]])&gt;5,"MID IMPACT",
    ABS(Fuel_prices[[#This Row],[%_change]])&lt;=5,"LITTLE IMPACT"
)</f>
        <v>LITTLE IMPACT</v>
      </c>
    </row>
    <row r="183" spans="1:9" x14ac:dyDescent="0.25">
      <c r="A183" s="4">
        <v>31079</v>
      </c>
      <c r="B183" s="6" t="str">
        <f>_xlfn.CONCAT("Q",CEILING(Fuel_prices[[#This Row],[Month]]/3,1))</f>
        <v>Q1</v>
      </c>
      <c r="C183" s="6">
        <f>MONTH(Fuel_prices[[#This Row],[Date]])</f>
        <v>2</v>
      </c>
      <c r="D183" s="6" t="str">
        <f>TEXT(Fuel_prices[[#This Row],[Date]],"mmm")</f>
        <v>Feb</v>
      </c>
      <c r="E183" s="6">
        <f>YEAR(Fuel_prices[[#This Row],[Date]])</f>
        <v>1985</v>
      </c>
      <c r="F183" s="5">
        <v>27.6</v>
      </c>
      <c r="G183" s="2">
        <f ca="1">ROUND(IFERROR((Fuel_prices[[#This Row],[Crude_Oil_Price]]-OFFSET(Fuel_prices[[#This Row],[Crude_Oil_Price]],-1,0)),0),2)</f>
        <v>0.97</v>
      </c>
      <c r="H183" s="2">
        <f ca="1">ROUND((IFERROR((Fuel_prices[[#This Row],[Crude_Oil_Price]]-OFFSET(Fuel_prices[[#This Row],[Crude_Oil_Price]],-1,0))/(OFFSET(Fuel_prices[[#This Row],[Crude_Oil_Price]],-1,0)),0))*100,2)</f>
        <v>3.63</v>
      </c>
      <c r="I183" s="2" t="str" cm="1">
        <f t="array" aca="1" ref="I183" ca="1">_xlfn.IFS(
    ABS(Fuel_prices[[#This Row],[%_change]])&gt;50,"SEVERE IMPACT",
    ABS(Fuel_prices[[#This Row],[%_change]])&gt;25,"HIGH IMPACT",
    ABS(Fuel_prices[[#This Row],[%_change]])&gt;5,"MID IMPACT",
    ABS(Fuel_prices[[#This Row],[%_change]])&lt;=5,"LITTLE IMPACT"
)</f>
        <v>LITTLE IMPACT</v>
      </c>
    </row>
    <row r="184" spans="1:9" x14ac:dyDescent="0.25">
      <c r="A184" s="4">
        <v>31107</v>
      </c>
      <c r="B184" s="6" t="str">
        <f>_xlfn.CONCAT("Q",CEILING(Fuel_prices[[#This Row],[Month]]/3,1))</f>
        <v>Q1</v>
      </c>
      <c r="C184" s="6">
        <f>MONTH(Fuel_prices[[#This Row],[Date]])</f>
        <v>3</v>
      </c>
      <c r="D184" s="6" t="str">
        <f>TEXT(Fuel_prices[[#This Row],[Date]],"mmm")</f>
        <v>Mar</v>
      </c>
      <c r="E184" s="6">
        <f>YEAR(Fuel_prices[[#This Row],[Date]])</f>
        <v>1985</v>
      </c>
      <c r="F184" s="5">
        <v>27.85</v>
      </c>
      <c r="G184" s="2">
        <f ca="1">ROUND(IFERROR((Fuel_prices[[#This Row],[Crude_Oil_Price]]-OFFSET(Fuel_prices[[#This Row],[Crude_Oil_Price]],-1,0)),0),2)</f>
        <v>0.25</v>
      </c>
      <c r="H184" s="2">
        <f ca="1">ROUND((IFERROR((Fuel_prices[[#This Row],[Crude_Oil_Price]]-OFFSET(Fuel_prices[[#This Row],[Crude_Oil_Price]],-1,0))/(OFFSET(Fuel_prices[[#This Row],[Crude_Oil_Price]],-1,0)),0))*100,2)</f>
        <v>0.91</v>
      </c>
      <c r="I184" s="2" t="str" cm="1">
        <f t="array" aca="1" ref="I184" ca="1">_xlfn.IFS(
    ABS(Fuel_prices[[#This Row],[%_change]])&gt;50,"SEVERE IMPACT",
    ABS(Fuel_prices[[#This Row],[%_change]])&gt;25,"HIGH IMPACT",
    ABS(Fuel_prices[[#This Row],[%_change]])&gt;5,"MID IMPACT",
    ABS(Fuel_prices[[#This Row],[%_change]])&lt;=5,"LITTLE IMPACT"
)</f>
        <v>LITTLE IMPACT</v>
      </c>
    </row>
    <row r="185" spans="1:9" x14ac:dyDescent="0.25">
      <c r="A185" s="4">
        <v>31138</v>
      </c>
      <c r="B185" s="6" t="str">
        <f>_xlfn.CONCAT("Q",CEILING(Fuel_prices[[#This Row],[Month]]/3,1))</f>
        <v>Q2</v>
      </c>
      <c r="C185" s="6">
        <f>MONTH(Fuel_prices[[#This Row],[Date]])</f>
        <v>4</v>
      </c>
      <c r="D185" s="6" t="str">
        <f>TEXT(Fuel_prices[[#This Row],[Date]],"mmm")</f>
        <v>Apr</v>
      </c>
      <c r="E185" s="6">
        <f>YEAR(Fuel_prices[[#This Row],[Date]])</f>
        <v>1985</v>
      </c>
      <c r="F185" s="5">
        <v>27.8</v>
      </c>
      <c r="G185" s="2">
        <f ca="1">ROUND(IFERROR((Fuel_prices[[#This Row],[Crude_Oil_Price]]-OFFSET(Fuel_prices[[#This Row],[Crude_Oil_Price]],-1,0)),0),2)</f>
        <v>-0.05</v>
      </c>
      <c r="H185" s="2">
        <f ca="1">ROUND((IFERROR((Fuel_prices[[#This Row],[Crude_Oil_Price]]-OFFSET(Fuel_prices[[#This Row],[Crude_Oil_Price]],-1,0))/(OFFSET(Fuel_prices[[#This Row],[Crude_Oil_Price]],-1,0)),0))*100,2)</f>
        <v>-0.18</v>
      </c>
      <c r="I185" s="2" t="str" cm="1">
        <f t="array" aca="1" ref="I185" ca="1">_xlfn.IFS(
    ABS(Fuel_prices[[#This Row],[%_change]])&gt;50,"SEVERE IMPACT",
    ABS(Fuel_prices[[#This Row],[%_change]])&gt;25,"HIGH IMPACT",
    ABS(Fuel_prices[[#This Row],[%_change]])&gt;5,"MID IMPACT",
    ABS(Fuel_prices[[#This Row],[%_change]])&lt;=5,"LITTLE IMPACT"
)</f>
        <v>LITTLE IMPACT</v>
      </c>
    </row>
    <row r="186" spans="1:9" x14ac:dyDescent="0.25">
      <c r="A186" s="4">
        <v>31168</v>
      </c>
      <c r="B186" s="6" t="str">
        <f>_xlfn.CONCAT("Q",CEILING(Fuel_prices[[#This Row],[Month]]/3,1))</f>
        <v>Q2</v>
      </c>
      <c r="C186" s="6">
        <f>MONTH(Fuel_prices[[#This Row],[Date]])</f>
        <v>5</v>
      </c>
      <c r="D186" s="6" t="str">
        <f>TEXT(Fuel_prices[[#This Row],[Date]],"mmm")</f>
        <v>May</v>
      </c>
      <c r="E186" s="6">
        <f>YEAR(Fuel_prices[[#This Row],[Date]])</f>
        <v>1985</v>
      </c>
      <c r="F186" s="5">
        <v>26.65</v>
      </c>
      <c r="G186" s="2">
        <f ca="1">ROUND(IFERROR((Fuel_prices[[#This Row],[Crude_Oil_Price]]-OFFSET(Fuel_prices[[#This Row],[Crude_Oil_Price]],-1,0)),0),2)</f>
        <v>-1.1499999999999999</v>
      </c>
      <c r="H186" s="2">
        <f ca="1">ROUND((IFERROR((Fuel_prices[[#This Row],[Crude_Oil_Price]]-OFFSET(Fuel_prices[[#This Row],[Crude_Oil_Price]],-1,0))/(OFFSET(Fuel_prices[[#This Row],[Crude_Oil_Price]],-1,0)),0))*100,2)</f>
        <v>-4.1399999999999997</v>
      </c>
      <c r="I186" s="2" t="str" cm="1">
        <f t="array" aca="1" ref="I186" ca="1">_xlfn.IFS(
    ABS(Fuel_prices[[#This Row],[%_change]])&gt;50,"SEVERE IMPACT",
    ABS(Fuel_prices[[#This Row],[%_change]])&gt;25,"HIGH IMPACT",
    ABS(Fuel_prices[[#This Row],[%_change]])&gt;5,"MID IMPACT",
    ABS(Fuel_prices[[#This Row],[%_change]])&lt;=5,"LITTLE IMPACT"
)</f>
        <v>LITTLE IMPACT</v>
      </c>
    </row>
    <row r="187" spans="1:9" x14ac:dyDescent="0.25">
      <c r="A187" s="4">
        <v>31199</v>
      </c>
      <c r="B187" s="6" t="str">
        <f>_xlfn.CONCAT("Q",CEILING(Fuel_prices[[#This Row],[Month]]/3,1))</f>
        <v>Q2</v>
      </c>
      <c r="C187" s="6">
        <f>MONTH(Fuel_prices[[#This Row],[Date]])</f>
        <v>6</v>
      </c>
      <c r="D187" s="6" t="str">
        <f>TEXT(Fuel_prices[[#This Row],[Date]],"mmm")</f>
        <v>Jun</v>
      </c>
      <c r="E187" s="6">
        <f>YEAR(Fuel_prices[[#This Row],[Date]])</f>
        <v>1985</v>
      </c>
      <c r="F187" s="5">
        <v>26.36666666667</v>
      </c>
      <c r="G187" s="2">
        <f ca="1">ROUND(IFERROR((Fuel_prices[[#This Row],[Crude_Oil_Price]]-OFFSET(Fuel_prices[[#This Row],[Crude_Oil_Price]],-1,0)),0),2)</f>
        <v>-0.28000000000000003</v>
      </c>
      <c r="H187" s="2">
        <f ca="1">ROUND((IFERROR((Fuel_prices[[#This Row],[Crude_Oil_Price]]-OFFSET(Fuel_prices[[#This Row],[Crude_Oil_Price]],-1,0))/(OFFSET(Fuel_prices[[#This Row],[Crude_Oil_Price]],-1,0)),0))*100,2)</f>
        <v>-1.06</v>
      </c>
      <c r="I187" s="2" t="str" cm="1">
        <f t="array" aca="1" ref="I187" ca="1">_xlfn.IFS(
    ABS(Fuel_prices[[#This Row],[%_change]])&gt;50,"SEVERE IMPACT",
    ABS(Fuel_prices[[#This Row],[%_change]])&gt;25,"HIGH IMPACT",
    ABS(Fuel_prices[[#This Row],[%_change]])&gt;5,"MID IMPACT",
    ABS(Fuel_prices[[#This Row],[%_change]])&lt;=5,"LITTLE IMPACT"
)</f>
        <v>LITTLE IMPACT</v>
      </c>
    </row>
    <row r="188" spans="1:9" x14ac:dyDescent="0.25">
      <c r="A188" s="4">
        <v>31229</v>
      </c>
      <c r="B188" s="6" t="str">
        <f>_xlfn.CONCAT("Q",CEILING(Fuel_prices[[#This Row],[Month]]/3,1))</f>
        <v>Q3</v>
      </c>
      <c r="C188" s="6">
        <f>MONTH(Fuel_prices[[#This Row],[Date]])</f>
        <v>7</v>
      </c>
      <c r="D188" s="6" t="str">
        <f>TEXT(Fuel_prices[[#This Row],[Date]],"mmm")</f>
        <v>Jul</v>
      </c>
      <c r="E188" s="6">
        <f>YEAR(Fuel_prices[[#This Row],[Date]])</f>
        <v>1985</v>
      </c>
      <c r="F188" s="5">
        <v>26.38333333333</v>
      </c>
      <c r="G188" s="2">
        <f ca="1">ROUND(IFERROR((Fuel_prices[[#This Row],[Crude_Oil_Price]]-OFFSET(Fuel_prices[[#This Row],[Crude_Oil_Price]],-1,0)),0),2)</f>
        <v>0.02</v>
      </c>
      <c r="H188" s="2">
        <f ca="1">ROUND((IFERROR((Fuel_prices[[#This Row],[Crude_Oil_Price]]-OFFSET(Fuel_prices[[#This Row],[Crude_Oil_Price]],-1,0))/(OFFSET(Fuel_prices[[#This Row],[Crude_Oil_Price]],-1,0)),0))*100,2)</f>
        <v>0.06</v>
      </c>
      <c r="I188" s="2" t="str" cm="1">
        <f t="array" aca="1" ref="I188" ca="1">_xlfn.IFS(
    ABS(Fuel_prices[[#This Row],[%_change]])&gt;50,"SEVERE IMPACT",
    ABS(Fuel_prices[[#This Row],[%_change]])&gt;25,"HIGH IMPACT",
    ABS(Fuel_prices[[#This Row],[%_change]])&gt;5,"MID IMPACT",
    ABS(Fuel_prices[[#This Row],[%_change]])&lt;=5,"LITTLE IMPACT"
)</f>
        <v>LITTLE IMPACT</v>
      </c>
    </row>
    <row r="189" spans="1:9" x14ac:dyDescent="0.25">
      <c r="A189" s="4">
        <v>31260</v>
      </c>
      <c r="B189" s="6" t="str">
        <f>_xlfn.CONCAT("Q",CEILING(Fuel_prices[[#This Row],[Month]]/3,1))</f>
        <v>Q3</v>
      </c>
      <c r="C189" s="6">
        <f>MONTH(Fuel_prices[[#This Row],[Date]])</f>
        <v>8</v>
      </c>
      <c r="D189" s="6" t="str">
        <f>TEXT(Fuel_prices[[#This Row],[Date]],"mmm")</f>
        <v>Aug</v>
      </c>
      <c r="E189" s="6">
        <f>YEAR(Fuel_prices[[#This Row],[Date]])</f>
        <v>1985</v>
      </c>
      <c r="F189" s="5">
        <v>27.016666666670002</v>
      </c>
      <c r="G189" s="2">
        <f ca="1">ROUND(IFERROR((Fuel_prices[[#This Row],[Crude_Oil_Price]]-OFFSET(Fuel_prices[[#This Row],[Crude_Oil_Price]],-1,0)),0),2)</f>
        <v>0.63</v>
      </c>
      <c r="H189" s="2">
        <f ca="1">ROUND((IFERROR((Fuel_prices[[#This Row],[Crude_Oil_Price]]-OFFSET(Fuel_prices[[#This Row],[Crude_Oil_Price]],-1,0))/(OFFSET(Fuel_prices[[#This Row],[Crude_Oil_Price]],-1,0)),0))*100,2)</f>
        <v>2.4</v>
      </c>
      <c r="I189" s="2" t="str" cm="1">
        <f t="array" aca="1" ref="I189" ca="1">_xlfn.IFS(
    ABS(Fuel_prices[[#This Row],[%_change]])&gt;50,"SEVERE IMPACT",
    ABS(Fuel_prices[[#This Row],[%_change]])&gt;25,"HIGH IMPACT",
    ABS(Fuel_prices[[#This Row],[%_change]])&gt;5,"MID IMPACT",
    ABS(Fuel_prices[[#This Row],[%_change]])&lt;=5,"LITTLE IMPACT"
)</f>
        <v>LITTLE IMPACT</v>
      </c>
    </row>
    <row r="190" spans="1:9" x14ac:dyDescent="0.25">
      <c r="A190" s="4">
        <v>31291</v>
      </c>
      <c r="B190" s="6" t="str">
        <f>_xlfn.CONCAT("Q",CEILING(Fuel_prices[[#This Row],[Month]]/3,1))</f>
        <v>Q3</v>
      </c>
      <c r="C190" s="6">
        <f>MONTH(Fuel_prices[[#This Row],[Date]])</f>
        <v>9</v>
      </c>
      <c r="D190" s="6" t="str">
        <f>TEXT(Fuel_prices[[#This Row],[Date]],"mmm")</f>
        <v>Sep</v>
      </c>
      <c r="E190" s="6">
        <f>YEAR(Fuel_prices[[#This Row],[Date]])</f>
        <v>1985</v>
      </c>
      <c r="F190" s="5">
        <v>26.983333333329998</v>
      </c>
      <c r="G190" s="2">
        <f ca="1">ROUND(IFERROR((Fuel_prices[[#This Row],[Crude_Oil_Price]]-OFFSET(Fuel_prices[[#This Row],[Crude_Oil_Price]],-1,0)),0),2)</f>
        <v>-0.03</v>
      </c>
      <c r="H190" s="2">
        <f ca="1">ROUND((IFERROR((Fuel_prices[[#This Row],[Crude_Oil_Price]]-OFFSET(Fuel_prices[[#This Row],[Crude_Oil_Price]],-1,0))/(OFFSET(Fuel_prices[[#This Row],[Crude_Oil_Price]],-1,0)),0))*100,2)</f>
        <v>-0.12</v>
      </c>
      <c r="I190" s="2" t="str" cm="1">
        <f t="array" aca="1" ref="I190" ca="1">_xlfn.IFS(
    ABS(Fuel_prices[[#This Row],[%_change]])&gt;50,"SEVERE IMPACT",
    ABS(Fuel_prices[[#This Row],[%_change]])&gt;25,"HIGH IMPACT",
    ABS(Fuel_prices[[#This Row],[%_change]])&gt;5,"MID IMPACT",
    ABS(Fuel_prices[[#This Row],[%_change]])&lt;=5,"LITTLE IMPACT"
)</f>
        <v>LITTLE IMPACT</v>
      </c>
    </row>
    <row r="191" spans="1:9" x14ac:dyDescent="0.25">
      <c r="A191" s="4">
        <v>31321</v>
      </c>
      <c r="B191" s="6" t="str">
        <f>_xlfn.CONCAT("Q",CEILING(Fuel_prices[[#This Row],[Month]]/3,1))</f>
        <v>Q4</v>
      </c>
      <c r="C191" s="6">
        <f>MONTH(Fuel_prices[[#This Row],[Date]])</f>
        <v>10</v>
      </c>
      <c r="D191" s="6" t="str">
        <f>TEXT(Fuel_prices[[#This Row],[Date]],"mmm")</f>
        <v>Oct</v>
      </c>
      <c r="E191" s="6">
        <f>YEAR(Fuel_prices[[#This Row],[Date]])</f>
        <v>1985</v>
      </c>
      <c r="F191" s="5">
        <v>27.816666666669999</v>
      </c>
      <c r="G191" s="2">
        <f ca="1">ROUND(IFERROR((Fuel_prices[[#This Row],[Crude_Oil_Price]]-OFFSET(Fuel_prices[[#This Row],[Crude_Oil_Price]],-1,0)),0),2)</f>
        <v>0.83</v>
      </c>
      <c r="H191" s="2">
        <f ca="1">ROUND((IFERROR((Fuel_prices[[#This Row],[Crude_Oil_Price]]-OFFSET(Fuel_prices[[#This Row],[Crude_Oil_Price]],-1,0))/(OFFSET(Fuel_prices[[#This Row],[Crude_Oil_Price]],-1,0)),0))*100,2)</f>
        <v>3.09</v>
      </c>
      <c r="I191" s="2" t="str" cm="1">
        <f t="array" aca="1" ref="I191" ca="1">_xlfn.IFS(
    ABS(Fuel_prices[[#This Row],[%_change]])&gt;50,"SEVERE IMPACT",
    ABS(Fuel_prices[[#This Row],[%_change]])&gt;25,"HIGH IMPACT",
    ABS(Fuel_prices[[#This Row],[%_change]])&gt;5,"MID IMPACT",
    ABS(Fuel_prices[[#This Row],[%_change]])&lt;=5,"LITTLE IMPACT"
)</f>
        <v>LITTLE IMPACT</v>
      </c>
    </row>
    <row r="192" spans="1:9" x14ac:dyDescent="0.25">
      <c r="A192" s="4">
        <v>31352</v>
      </c>
      <c r="B192" s="6" t="str">
        <f>_xlfn.CONCAT("Q",CEILING(Fuel_prices[[#This Row],[Month]]/3,1))</f>
        <v>Q4</v>
      </c>
      <c r="C192" s="6">
        <f>MONTH(Fuel_prices[[#This Row],[Date]])</f>
        <v>11</v>
      </c>
      <c r="D192" s="6" t="str">
        <f>TEXT(Fuel_prices[[#This Row],[Date]],"mmm")</f>
        <v>Nov</v>
      </c>
      <c r="E192" s="6">
        <f>YEAR(Fuel_prices[[#This Row],[Date]])</f>
        <v>1985</v>
      </c>
      <c r="F192" s="5">
        <v>28.6</v>
      </c>
      <c r="G192" s="2">
        <f ca="1">ROUND(IFERROR((Fuel_prices[[#This Row],[Crude_Oil_Price]]-OFFSET(Fuel_prices[[#This Row],[Crude_Oil_Price]],-1,0)),0),2)</f>
        <v>0.78</v>
      </c>
      <c r="H192" s="2">
        <f ca="1">ROUND((IFERROR((Fuel_prices[[#This Row],[Crude_Oil_Price]]-OFFSET(Fuel_prices[[#This Row],[Crude_Oil_Price]],-1,0))/(OFFSET(Fuel_prices[[#This Row],[Crude_Oil_Price]],-1,0)),0))*100,2)</f>
        <v>2.82</v>
      </c>
      <c r="I192" s="2" t="str" cm="1">
        <f t="array" aca="1" ref="I192" ca="1">_xlfn.IFS(
    ABS(Fuel_prices[[#This Row],[%_change]])&gt;50,"SEVERE IMPACT",
    ABS(Fuel_prices[[#This Row],[%_change]])&gt;25,"HIGH IMPACT",
    ABS(Fuel_prices[[#This Row],[%_change]])&gt;5,"MID IMPACT",
    ABS(Fuel_prices[[#This Row],[%_change]])&lt;=5,"LITTLE IMPACT"
)</f>
        <v>LITTLE IMPACT</v>
      </c>
    </row>
    <row r="193" spans="1:9" x14ac:dyDescent="0.25">
      <c r="A193" s="4">
        <v>31382</v>
      </c>
      <c r="B193" s="6" t="str">
        <f>_xlfn.CONCAT("Q",CEILING(Fuel_prices[[#This Row],[Month]]/3,1))</f>
        <v>Q4</v>
      </c>
      <c r="C193" s="6">
        <f>MONTH(Fuel_prices[[#This Row],[Date]])</f>
        <v>12</v>
      </c>
      <c r="D193" s="6" t="str">
        <f>TEXT(Fuel_prices[[#This Row],[Date]],"mmm")</f>
        <v>Dec</v>
      </c>
      <c r="E193" s="6">
        <f>YEAR(Fuel_prices[[#This Row],[Date]])</f>
        <v>1985</v>
      </c>
      <c r="F193" s="5">
        <v>26.5</v>
      </c>
      <c r="G193" s="2">
        <f ca="1">ROUND(IFERROR((Fuel_prices[[#This Row],[Crude_Oil_Price]]-OFFSET(Fuel_prices[[#This Row],[Crude_Oil_Price]],-1,0)),0),2)</f>
        <v>-2.1</v>
      </c>
      <c r="H193" s="2">
        <f ca="1">ROUND((IFERROR((Fuel_prices[[#This Row],[Crude_Oil_Price]]-OFFSET(Fuel_prices[[#This Row],[Crude_Oil_Price]],-1,0))/(OFFSET(Fuel_prices[[#This Row],[Crude_Oil_Price]],-1,0)),0))*100,2)</f>
        <v>-7.34</v>
      </c>
      <c r="I193" s="2" t="str" cm="1">
        <f t="array" aca="1" ref="I193" ca="1">_xlfn.IFS(
    ABS(Fuel_prices[[#This Row],[%_change]])&gt;50,"SEVERE IMPACT",
    ABS(Fuel_prices[[#This Row],[%_change]])&gt;25,"HIGH IMPACT",
    ABS(Fuel_prices[[#This Row],[%_change]])&gt;5,"MID IMPACT",
    ABS(Fuel_prices[[#This Row],[%_change]])&lt;=5,"LITTLE IMPACT"
)</f>
        <v>MID IMPACT</v>
      </c>
    </row>
    <row r="194" spans="1:9" x14ac:dyDescent="0.25">
      <c r="A194" s="4">
        <v>31413</v>
      </c>
      <c r="B194" s="6" t="str">
        <f>_xlfn.CONCAT("Q",CEILING(Fuel_prices[[#This Row],[Month]]/3,1))</f>
        <v>Q1</v>
      </c>
      <c r="C194" s="6">
        <f>MONTH(Fuel_prices[[#This Row],[Date]])</f>
        <v>1</v>
      </c>
      <c r="D194" s="6" t="str">
        <f>TEXT(Fuel_prices[[#This Row],[Date]],"mmm")</f>
        <v>Jan</v>
      </c>
      <c r="E194" s="6">
        <f>YEAR(Fuel_prices[[#This Row],[Date]])</f>
        <v>1986</v>
      </c>
      <c r="F194" s="5">
        <v>24.683333333330001</v>
      </c>
      <c r="G194" s="2">
        <f ca="1">ROUND(IFERROR((Fuel_prices[[#This Row],[Crude_Oil_Price]]-OFFSET(Fuel_prices[[#This Row],[Crude_Oil_Price]],-1,0)),0),2)</f>
        <v>-1.82</v>
      </c>
      <c r="H194" s="2">
        <f ca="1">ROUND((IFERROR((Fuel_prices[[#This Row],[Crude_Oil_Price]]-OFFSET(Fuel_prices[[#This Row],[Crude_Oil_Price]],-1,0))/(OFFSET(Fuel_prices[[#This Row],[Crude_Oil_Price]],-1,0)),0))*100,2)</f>
        <v>-6.86</v>
      </c>
      <c r="I194" s="2" t="str" cm="1">
        <f t="array" aca="1" ref="I194" ca="1">_xlfn.IFS(
    ABS(Fuel_prices[[#This Row],[%_change]])&gt;50,"SEVERE IMPACT",
    ABS(Fuel_prices[[#This Row],[%_change]])&gt;25,"HIGH IMPACT",
    ABS(Fuel_prices[[#This Row],[%_change]])&gt;5,"MID IMPACT",
    ABS(Fuel_prices[[#This Row],[%_change]])&lt;=5,"LITTLE IMPACT"
)</f>
        <v>MID IMPACT</v>
      </c>
    </row>
    <row r="195" spans="1:9" x14ac:dyDescent="0.25">
      <c r="A195" s="4">
        <v>31444</v>
      </c>
      <c r="B195" s="6" t="str">
        <f>_xlfn.CONCAT("Q",CEILING(Fuel_prices[[#This Row],[Month]]/3,1))</f>
        <v>Q1</v>
      </c>
      <c r="C195" s="6">
        <f>MONTH(Fuel_prices[[#This Row],[Date]])</f>
        <v>2</v>
      </c>
      <c r="D195" s="6" t="str">
        <f>TEXT(Fuel_prices[[#This Row],[Date]],"mmm")</f>
        <v>Feb</v>
      </c>
      <c r="E195" s="6">
        <f>YEAR(Fuel_prices[[#This Row],[Date]])</f>
        <v>1986</v>
      </c>
      <c r="F195" s="5">
        <v>15.91666666667</v>
      </c>
      <c r="G195" s="2">
        <f ca="1">ROUND(IFERROR((Fuel_prices[[#This Row],[Crude_Oil_Price]]-OFFSET(Fuel_prices[[#This Row],[Crude_Oil_Price]],-1,0)),0),2)</f>
        <v>-8.77</v>
      </c>
      <c r="H195" s="2">
        <f ca="1">ROUND((IFERROR((Fuel_prices[[#This Row],[Crude_Oil_Price]]-OFFSET(Fuel_prices[[#This Row],[Crude_Oil_Price]],-1,0))/(OFFSET(Fuel_prices[[#This Row],[Crude_Oil_Price]],-1,0)),0))*100,2)</f>
        <v>-35.520000000000003</v>
      </c>
      <c r="I195" s="2" t="str" cm="1">
        <f t="array" aca="1" ref="I195" ca="1">_xlfn.IFS(
    ABS(Fuel_prices[[#This Row],[%_change]])&gt;50,"SEVERE IMPACT",
    ABS(Fuel_prices[[#This Row],[%_change]])&gt;25,"HIGH IMPACT",
    ABS(Fuel_prices[[#This Row],[%_change]])&gt;5,"MID IMPACT",
    ABS(Fuel_prices[[#This Row],[%_change]])&lt;=5,"LITTLE IMPACT"
)</f>
        <v>HIGH IMPACT</v>
      </c>
    </row>
    <row r="196" spans="1:9" x14ac:dyDescent="0.25">
      <c r="A196" s="4">
        <v>31472</v>
      </c>
      <c r="B196" s="6" t="str">
        <f>_xlfn.CONCAT("Q",CEILING(Fuel_prices[[#This Row],[Month]]/3,1))</f>
        <v>Q1</v>
      </c>
      <c r="C196" s="6">
        <f>MONTH(Fuel_prices[[#This Row],[Date]])</f>
        <v>3</v>
      </c>
      <c r="D196" s="6" t="str">
        <f>TEXT(Fuel_prices[[#This Row],[Date]],"mmm")</f>
        <v>Mar</v>
      </c>
      <c r="E196" s="6">
        <f>YEAR(Fuel_prices[[#This Row],[Date]])</f>
        <v>1986</v>
      </c>
      <c r="F196" s="5">
        <v>12.65</v>
      </c>
      <c r="G196" s="2">
        <f ca="1">ROUND(IFERROR((Fuel_prices[[#This Row],[Crude_Oil_Price]]-OFFSET(Fuel_prices[[#This Row],[Crude_Oil_Price]],-1,0)),0),2)</f>
        <v>-3.27</v>
      </c>
      <c r="H196" s="2">
        <f ca="1">ROUND((IFERROR((Fuel_prices[[#This Row],[Crude_Oil_Price]]-OFFSET(Fuel_prices[[#This Row],[Crude_Oil_Price]],-1,0))/(OFFSET(Fuel_prices[[#This Row],[Crude_Oil_Price]],-1,0)),0))*100,2)</f>
        <v>-20.52</v>
      </c>
      <c r="I196" s="2" t="str" cm="1">
        <f t="array" aca="1" ref="I196" ca="1">_xlfn.IFS(
    ABS(Fuel_prices[[#This Row],[%_change]])&gt;50,"SEVERE IMPACT",
    ABS(Fuel_prices[[#This Row],[%_change]])&gt;25,"HIGH IMPACT",
    ABS(Fuel_prices[[#This Row],[%_change]])&gt;5,"MID IMPACT",
    ABS(Fuel_prices[[#This Row],[%_change]])&lt;=5,"LITTLE IMPACT"
)</f>
        <v>MID IMPACT</v>
      </c>
    </row>
    <row r="197" spans="1:9" x14ac:dyDescent="0.25">
      <c r="A197" s="4">
        <v>31503</v>
      </c>
      <c r="B197" s="6" t="str">
        <f>_xlfn.CONCAT("Q",CEILING(Fuel_prices[[#This Row],[Month]]/3,1))</f>
        <v>Q2</v>
      </c>
      <c r="C197" s="6">
        <f>MONTH(Fuel_prices[[#This Row],[Date]])</f>
        <v>4</v>
      </c>
      <c r="D197" s="6" t="str">
        <f>TEXT(Fuel_prices[[#This Row],[Date]],"mmm")</f>
        <v>Apr</v>
      </c>
      <c r="E197" s="6">
        <f>YEAR(Fuel_prices[[#This Row],[Date]])</f>
        <v>1986</v>
      </c>
      <c r="F197" s="5">
        <v>11.9</v>
      </c>
      <c r="G197" s="2">
        <f ca="1">ROUND(IFERROR((Fuel_prices[[#This Row],[Crude_Oil_Price]]-OFFSET(Fuel_prices[[#This Row],[Crude_Oil_Price]],-1,0)),0),2)</f>
        <v>-0.75</v>
      </c>
      <c r="H197" s="2">
        <f ca="1">ROUND((IFERROR((Fuel_prices[[#This Row],[Crude_Oil_Price]]-OFFSET(Fuel_prices[[#This Row],[Crude_Oil_Price]],-1,0))/(OFFSET(Fuel_prices[[#This Row],[Crude_Oil_Price]],-1,0)),0))*100,2)</f>
        <v>-5.93</v>
      </c>
      <c r="I197" s="2" t="str" cm="1">
        <f t="array" aca="1" ref="I197" ca="1">_xlfn.IFS(
    ABS(Fuel_prices[[#This Row],[%_change]])&gt;50,"SEVERE IMPACT",
    ABS(Fuel_prices[[#This Row],[%_change]])&gt;25,"HIGH IMPACT",
    ABS(Fuel_prices[[#This Row],[%_change]])&gt;5,"MID IMPACT",
    ABS(Fuel_prices[[#This Row],[%_change]])&lt;=5,"LITTLE IMPACT"
)</f>
        <v>MID IMPACT</v>
      </c>
    </row>
    <row r="198" spans="1:9" x14ac:dyDescent="0.25">
      <c r="A198" s="4">
        <v>31533</v>
      </c>
      <c r="B198" s="6" t="str">
        <f>_xlfn.CONCAT("Q",CEILING(Fuel_prices[[#This Row],[Month]]/3,1))</f>
        <v>Q2</v>
      </c>
      <c r="C198" s="6">
        <f>MONTH(Fuel_prices[[#This Row],[Date]])</f>
        <v>5</v>
      </c>
      <c r="D198" s="6" t="str">
        <f>TEXT(Fuel_prices[[#This Row],[Date]],"mmm")</f>
        <v>May</v>
      </c>
      <c r="E198" s="6">
        <f>YEAR(Fuel_prices[[#This Row],[Date]])</f>
        <v>1986</v>
      </c>
      <c r="F198" s="5">
        <v>13.716666666669999</v>
      </c>
      <c r="G198" s="2">
        <f ca="1">ROUND(IFERROR((Fuel_prices[[#This Row],[Crude_Oil_Price]]-OFFSET(Fuel_prices[[#This Row],[Crude_Oil_Price]],-1,0)),0),2)</f>
        <v>1.82</v>
      </c>
      <c r="H198" s="2">
        <f ca="1">ROUND((IFERROR((Fuel_prices[[#This Row],[Crude_Oil_Price]]-OFFSET(Fuel_prices[[#This Row],[Crude_Oil_Price]],-1,0))/(OFFSET(Fuel_prices[[#This Row],[Crude_Oil_Price]],-1,0)),0))*100,2)</f>
        <v>15.27</v>
      </c>
      <c r="I198" s="2" t="str" cm="1">
        <f t="array" aca="1" ref="I198" ca="1">_xlfn.IFS(
    ABS(Fuel_prices[[#This Row],[%_change]])&gt;50,"SEVERE IMPACT",
    ABS(Fuel_prices[[#This Row],[%_change]])&gt;25,"HIGH IMPACT",
    ABS(Fuel_prices[[#This Row],[%_change]])&gt;5,"MID IMPACT",
    ABS(Fuel_prices[[#This Row],[%_change]])&lt;=5,"LITTLE IMPACT"
)</f>
        <v>MID IMPACT</v>
      </c>
    </row>
    <row r="199" spans="1:9" x14ac:dyDescent="0.25">
      <c r="A199" s="4">
        <v>31564</v>
      </c>
      <c r="B199" s="6" t="str">
        <f>_xlfn.CONCAT("Q",CEILING(Fuel_prices[[#This Row],[Month]]/3,1))</f>
        <v>Q2</v>
      </c>
      <c r="C199" s="6">
        <f>MONTH(Fuel_prices[[#This Row],[Date]])</f>
        <v>6</v>
      </c>
      <c r="D199" s="6" t="str">
        <f>TEXT(Fuel_prices[[#This Row],[Date]],"mmm")</f>
        <v>Jun</v>
      </c>
      <c r="E199" s="6">
        <f>YEAR(Fuel_prices[[#This Row],[Date]])</f>
        <v>1986</v>
      </c>
      <c r="F199" s="5">
        <v>11.85</v>
      </c>
      <c r="G199" s="2">
        <f ca="1">ROUND(IFERROR((Fuel_prices[[#This Row],[Crude_Oil_Price]]-OFFSET(Fuel_prices[[#This Row],[Crude_Oil_Price]],-1,0)),0),2)</f>
        <v>-1.87</v>
      </c>
      <c r="H199" s="2">
        <f ca="1">ROUND((IFERROR((Fuel_prices[[#This Row],[Crude_Oil_Price]]-OFFSET(Fuel_prices[[#This Row],[Crude_Oil_Price]],-1,0))/(OFFSET(Fuel_prices[[#This Row],[Crude_Oil_Price]],-1,0)),0))*100,2)</f>
        <v>-13.61</v>
      </c>
      <c r="I199" s="2" t="str" cm="1">
        <f t="array" aca="1" ref="I199" ca="1">_xlfn.IFS(
    ABS(Fuel_prices[[#This Row],[%_change]])&gt;50,"SEVERE IMPACT",
    ABS(Fuel_prices[[#This Row],[%_change]])&gt;25,"HIGH IMPACT",
    ABS(Fuel_prices[[#This Row],[%_change]])&gt;5,"MID IMPACT",
    ABS(Fuel_prices[[#This Row],[%_change]])&lt;=5,"LITTLE IMPACT"
)</f>
        <v>MID IMPACT</v>
      </c>
    </row>
    <row r="200" spans="1:9" x14ac:dyDescent="0.25">
      <c r="A200" s="4">
        <v>31594</v>
      </c>
      <c r="B200" s="6" t="str">
        <f>_xlfn.CONCAT("Q",CEILING(Fuel_prices[[#This Row],[Month]]/3,1))</f>
        <v>Q3</v>
      </c>
      <c r="C200" s="6">
        <f>MONTH(Fuel_prices[[#This Row],[Date]])</f>
        <v>7</v>
      </c>
      <c r="D200" s="6" t="str">
        <f>TEXT(Fuel_prices[[#This Row],[Date]],"mmm")</f>
        <v>Jul</v>
      </c>
      <c r="E200" s="6">
        <f>YEAR(Fuel_prices[[#This Row],[Date]])</f>
        <v>1986</v>
      </c>
      <c r="F200" s="5">
        <v>9.6166666666699996</v>
      </c>
      <c r="G200" s="2">
        <f ca="1">ROUND(IFERROR((Fuel_prices[[#This Row],[Crude_Oil_Price]]-OFFSET(Fuel_prices[[#This Row],[Crude_Oil_Price]],-1,0)),0),2)</f>
        <v>-2.23</v>
      </c>
      <c r="H200" s="2">
        <f ca="1">ROUND((IFERROR((Fuel_prices[[#This Row],[Crude_Oil_Price]]-OFFSET(Fuel_prices[[#This Row],[Crude_Oil_Price]],-1,0))/(OFFSET(Fuel_prices[[#This Row],[Crude_Oil_Price]],-1,0)),0))*100,2)</f>
        <v>-18.850000000000001</v>
      </c>
      <c r="I200" s="2" t="str" cm="1">
        <f t="array" aca="1" ref="I200" ca="1">_xlfn.IFS(
    ABS(Fuel_prices[[#This Row],[%_change]])&gt;50,"SEVERE IMPACT",
    ABS(Fuel_prices[[#This Row],[%_change]])&gt;25,"HIGH IMPACT",
    ABS(Fuel_prices[[#This Row],[%_change]])&gt;5,"MID IMPACT",
    ABS(Fuel_prices[[#This Row],[%_change]])&lt;=5,"LITTLE IMPACT"
)</f>
        <v>MID IMPACT</v>
      </c>
    </row>
    <row r="201" spans="1:9" x14ac:dyDescent="0.25">
      <c r="A201" s="4">
        <v>31625</v>
      </c>
      <c r="B201" s="6" t="str">
        <f>_xlfn.CONCAT("Q",CEILING(Fuel_prices[[#This Row],[Month]]/3,1))</f>
        <v>Q3</v>
      </c>
      <c r="C201" s="6">
        <f>MONTH(Fuel_prices[[#This Row],[Date]])</f>
        <v>8</v>
      </c>
      <c r="D201" s="6" t="str">
        <f>TEXT(Fuel_prices[[#This Row],[Date]],"mmm")</f>
        <v>Aug</v>
      </c>
      <c r="E201" s="6">
        <f>YEAR(Fuel_prices[[#This Row],[Date]])</f>
        <v>1986</v>
      </c>
      <c r="F201" s="5">
        <v>13.7</v>
      </c>
      <c r="G201" s="2">
        <f ca="1">ROUND(IFERROR((Fuel_prices[[#This Row],[Crude_Oil_Price]]-OFFSET(Fuel_prices[[#This Row],[Crude_Oil_Price]],-1,0)),0),2)</f>
        <v>4.08</v>
      </c>
      <c r="H201" s="2">
        <f ca="1">ROUND((IFERROR((Fuel_prices[[#This Row],[Crude_Oil_Price]]-OFFSET(Fuel_prices[[#This Row],[Crude_Oil_Price]],-1,0))/(OFFSET(Fuel_prices[[#This Row],[Crude_Oil_Price]],-1,0)),0))*100,2)</f>
        <v>42.46</v>
      </c>
      <c r="I201" s="2" t="str" cm="1">
        <f t="array" aca="1" ref="I201" ca="1">_xlfn.IFS(
    ABS(Fuel_prices[[#This Row],[%_change]])&gt;50,"SEVERE IMPACT",
    ABS(Fuel_prices[[#This Row],[%_change]])&gt;25,"HIGH IMPACT",
    ABS(Fuel_prices[[#This Row],[%_change]])&gt;5,"MID IMPACT",
    ABS(Fuel_prices[[#This Row],[%_change]])&lt;=5,"LITTLE IMPACT"
)</f>
        <v>HIGH IMPACT</v>
      </c>
    </row>
    <row r="202" spans="1:9" x14ac:dyDescent="0.25">
      <c r="A202" s="4">
        <v>31656</v>
      </c>
      <c r="B202" s="6" t="str">
        <f>_xlfn.CONCAT("Q",CEILING(Fuel_prices[[#This Row],[Month]]/3,1))</f>
        <v>Q3</v>
      </c>
      <c r="C202" s="6">
        <f>MONTH(Fuel_prices[[#This Row],[Date]])</f>
        <v>9</v>
      </c>
      <c r="D202" s="6" t="str">
        <f>TEXT(Fuel_prices[[#This Row],[Date]],"mmm")</f>
        <v>Sep</v>
      </c>
      <c r="E202" s="6">
        <f>YEAR(Fuel_prices[[#This Row],[Date]])</f>
        <v>1986</v>
      </c>
      <c r="F202" s="5">
        <v>14.08333333333</v>
      </c>
      <c r="G202" s="2">
        <f ca="1">ROUND(IFERROR((Fuel_prices[[#This Row],[Crude_Oil_Price]]-OFFSET(Fuel_prices[[#This Row],[Crude_Oil_Price]],-1,0)),0),2)</f>
        <v>0.38</v>
      </c>
      <c r="H202" s="2">
        <f ca="1">ROUND((IFERROR((Fuel_prices[[#This Row],[Crude_Oil_Price]]-OFFSET(Fuel_prices[[#This Row],[Crude_Oil_Price]],-1,0))/(OFFSET(Fuel_prices[[#This Row],[Crude_Oil_Price]],-1,0)),0))*100,2)</f>
        <v>2.8</v>
      </c>
      <c r="I202" s="2" t="str" cm="1">
        <f t="array" aca="1" ref="I202" ca="1">_xlfn.IFS(
    ABS(Fuel_prices[[#This Row],[%_change]])&gt;50,"SEVERE IMPACT",
    ABS(Fuel_prices[[#This Row],[%_change]])&gt;25,"HIGH IMPACT",
    ABS(Fuel_prices[[#This Row],[%_change]])&gt;5,"MID IMPACT",
    ABS(Fuel_prices[[#This Row],[%_change]])&lt;=5,"LITTLE IMPACT"
)</f>
        <v>LITTLE IMPACT</v>
      </c>
    </row>
    <row r="203" spans="1:9" x14ac:dyDescent="0.25">
      <c r="A203" s="4">
        <v>31686</v>
      </c>
      <c r="B203" s="6" t="str">
        <f>_xlfn.CONCAT("Q",CEILING(Fuel_prices[[#This Row],[Month]]/3,1))</f>
        <v>Q4</v>
      </c>
      <c r="C203" s="6">
        <f>MONTH(Fuel_prices[[#This Row],[Date]])</f>
        <v>10</v>
      </c>
      <c r="D203" s="6" t="str">
        <f>TEXT(Fuel_prices[[#This Row],[Date]],"mmm")</f>
        <v>Oct</v>
      </c>
      <c r="E203" s="6">
        <f>YEAR(Fuel_prices[[#This Row],[Date]])</f>
        <v>1986</v>
      </c>
      <c r="F203" s="5">
        <v>13.95</v>
      </c>
      <c r="G203" s="2">
        <f ca="1">ROUND(IFERROR((Fuel_prices[[#This Row],[Crude_Oil_Price]]-OFFSET(Fuel_prices[[#This Row],[Crude_Oil_Price]],-1,0)),0),2)</f>
        <v>-0.13</v>
      </c>
      <c r="H203" s="2">
        <f ca="1">ROUND((IFERROR((Fuel_prices[[#This Row],[Crude_Oil_Price]]-OFFSET(Fuel_prices[[#This Row],[Crude_Oil_Price]],-1,0))/(OFFSET(Fuel_prices[[#This Row],[Crude_Oil_Price]],-1,0)),0))*100,2)</f>
        <v>-0.95</v>
      </c>
      <c r="I203" s="2" t="str" cm="1">
        <f t="array" aca="1" ref="I203" ca="1">_xlfn.IFS(
    ABS(Fuel_prices[[#This Row],[%_change]])&gt;50,"SEVERE IMPACT",
    ABS(Fuel_prices[[#This Row],[%_change]])&gt;25,"HIGH IMPACT",
    ABS(Fuel_prices[[#This Row],[%_change]])&gt;5,"MID IMPACT",
    ABS(Fuel_prices[[#This Row],[%_change]])&lt;=5,"LITTLE IMPACT"
)</f>
        <v>LITTLE IMPACT</v>
      </c>
    </row>
    <row r="204" spans="1:9" x14ac:dyDescent="0.25">
      <c r="A204" s="4">
        <v>31717</v>
      </c>
      <c r="B204" s="6" t="str">
        <f>_xlfn.CONCAT("Q",CEILING(Fuel_prices[[#This Row],[Month]]/3,1))</f>
        <v>Q4</v>
      </c>
      <c r="C204" s="6">
        <f>MONTH(Fuel_prices[[#This Row],[Date]])</f>
        <v>11</v>
      </c>
      <c r="D204" s="6" t="str">
        <f>TEXT(Fuel_prices[[#This Row],[Date]],"mmm")</f>
        <v>Nov</v>
      </c>
      <c r="E204" s="6">
        <f>YEAR(Fuel_prices[[#This Row],[Date]])</f>
        <v>1986</v>
      </c>
      <c r="F204" s="5">
        <v>14.45</v>
      </c>
      <c r="G204" s="2">
        <f ca="1">ROUND(IFERROR((Fuel_prices[[#This Row],[Crude_Oil_Price]]-OFFSET(Fuel_prices[[#This Row],[Crude_Oil_Price]],-1,0)),0),2)</f>
        <v>0.5</v>
      </c>
      <c r="H204" s="2">
        <f ca="1">ROUND((IFERROR((Fuel_prices[[#This Row],[Crude_Oil_Price]]-OFFSET(Fuel_prices[[#This Row],[Crude_Oil_Price]],-1,0))/(OFFSET(Fuel_prices[[#This Row],[Crude_Oil_Price]],-1,0)),0))*100,2)</f>
        <v>3.58</v>
      </c>
      <c r="I204" s="2" t="str" cm="1">
        <f t="array" aca="1" ref="I204" ca="1">_xlfn.IFS(
    ABS(Fuel_prices[[#This Row],[%_change]])&gt;50,"SEVERE IMPACT",
    ABS(Fuel_prices[[#This Row],[%_change]])&gt;25,"HIGH IMPACT",
    ABS(Fuel_prices[[#This Row],[%_change]])&gt;5,"MID IMPACT",
    ABS(Fuel_prices[[#This Row],[%_change]])&lt;=5,"LITTLE IMPACT"
)</f>
        <v>LITTLE IMPACT</v>
      </c>
    </row>
    <row r="205" spans="1:9" x14ac:dyDescent="0.25">
      <c r="A205" s="4">
        <v>31747</v>
      </c>
      <c r="B205" s="6" t="str">
        <f>_xlfn.CONCAT("Q",CEILING(Fuel_prices[[#This Row],[Month]]/3,1))</f>
        <v>Q4</v>
      </c>
      <c r="C205" s="6">
        <f>MONTH(Fuel_prices[[#This Row],[Date]])</f>
        <v>12</v>
      </c>
      <c r="D205" s="6" t="str">
        <f>TEXT(Fuel_prices[[#This Row],[Date]],"mmm")</f>
        <v>Dec</v>
      </c>
      <c r="E205" s="6">
        <f>YEAR(Fuel_prices[[#This Row],[Date]])</f>
        <v>1986</v>
      </c>
      <c r="F205" s="5">
        <v>15.683333333329999</v>
      </c>
      <c r="G205" s="2">
        <f ca="1">ROUND(IFERROR((Fuel_prices[[#This Row],[Crude_Oil_Price]]-OFFSET(Fuel_prices[[#This Row],[Crude_Oil_Price]],-1,0)),0),2)</f>
        <v>1.23</v>
      </c>
      <c r="H205" s="2">
        <f ca="1">ROUND((IFERROR((Fuel_prices[[#This Row],[Crude_Oil_Price]]-OFFSET(Fuel_prices[[#This Row],[Crude_Oil_Price]],-1,0))/(OFFSET(Fuel_prices[[#This Row],[Crude_Oil_Price]],-1,0)),0))*100,2)</f>
        <v>8.5399999999999991</v>
      </c>
      <c r="I205" s="2" t="str" cm="1">
        <f t="array" aca="1" ref="I205" ca="1">_xlfn.IFS(
    ABS(Fuel_prices[[#This Row],[%_change]])&gt;50,"SEVERE IMPACT",
    ABS(Fuel_prices[[#This Row],[%_change]])&gt;25,"HIGH IMPACT",
    ABS(Fuel_prices[[#This Row],[%_change]])&gt;5,"MID IMPACT",
    ABS(Fuel_prices[[#This Row],[%_change]])&lt;=5,"LITTLE IMPACT"
)</f>
        <v>MID IMPACT</v>
      </c>
    </row>
    <row r="206" spans="1:9" x14ac:dyDescent="0.25">
      <c r="A206" s="4">
        <v>31778</v>
      </c>
      <c r="B206" s="6" t="str">
        <f>_xlfn.CONCAT("Q",CEILING(Fuel_prices[[#This Row],[Month]]/3,1))</f>
        <v>Q1</v>
      </c>
      <c r="C206" s="6">
        <f>MONTH(Fuel_prices[[#This Row],[Date]])</f>
        <v>1</v>
      </c>
      <c r="D206" s="6" t="str">
        <f>TEXT(Fuel_prices[[#This Row],[Date]],"mmm")</f>
        <v>Jan</v>
      </c>
      <c r="E206" s="6">
        <f>YEAR(Fuel_prices[[#This Row],[Date]])</f>
        <v>1987</v>
      </c>
      <c r="F206" s="5">
        <v>18.066666666669999</v>
      </c>
      <c r="G206" s="2">
        <f ca="1">ROUND(IFERROR((Fuel_prices[[#This Row],[Crude_Oil_Price]]-OFFSET(Fuel_prices[[#This Row],[Crude_Oil_Price]],-1,0)),0),2)</f>
        <v>2.38</v>
      </c>
      <c r="H206" s="2">
        <f ca="1">ROUND((IFERROR((Fuel_prices[[#This Row],[Crude_Oil_Price]]-OFFSET(Fuel_prices[[#This Row],[Crude_Oil_Price]],-1,0))/(OFFSET(Fuel_prices[[#This Row],[Crude_Oil_Price]],-1,0)),0))*100,2)</f>
        <v>15.2</v>
      </c>
      <c r="I206" s="2" t="str" cm="1">
        <f t="array" aca="1" ref="I206" ca="1">_xlfn.IFS(
    ABS(Fuel_prices[[#This Row],[%_change]])&gt;50,"SEVERE IMPACT",
    ABS(Fuel_prices[[#This Row],[%_change]])&gt;25,"HIGH IMPACT",
    ABS(Fuel_prices[[#This Row],[%_change]])&gt;5,"MID IMPACT",
    ABS(Fuel_prices[[#This Row],[%_change]])&lt;=5,"LITTLE IMPACT"
)</f>
        <v>MID IMPACT</v>
      </c>
    </row>
    <row r="207" spans="1:9" x14ac:dyDescent="0.25">
      <c r="A207" s="4">
        <v>31809</v>
      </c>
      <c r="B207" s="6" t="str">
        <f>_xlfn.CONCAT("Q",CEILING(Fuel_prices[[#This Row],[Month]]/3,1))</f>
        <v>Q1</v>
      </c>
      <c r="C207" s="6">
        <f>MONTH(Fuel_prices[[#This Row],[Date]])</f>
        <v>2</v>
      </c>
      <c r="D207" s="6" t="str">
        <f>TEXT(Fuel_prices[[#This Row],[Date]],"mmm")</f>
        <v>Feb</v>
      </c>
      <c r="E207" s="6">
        <f>YEAR(Fuel_prices[[#This Row],[Date]])</f>
        <v>1987</v>
      </c>
      <c r="F207" s="5">
        <v>17.25</v>
      </c>
      <c r="G207" s="2">
        <f ca="1">ROUND(IFERROR((Fuel_prices[[#This Row],[Crude_Oil_Price]]-OFFSET(Fuel_prices[[#This Row],[Crude_Oil_Price]],-1,0)),0),2)</f>
        <v>-0.82</v>
      </c>
      <c r="H207" s="2">
        <f ca="1">ROUND((IFERROR((Fuel_prices[[#This Row],[Crude_Oil_Price]]-OFFSET(Fuel_prices[[#This Row],[Crude_Oil_Price]],-1,0))/(OFFSET(Fuel_prices[[#This Row],[Crude_Oil_Price]],-1,0)),0))*100,2)</f>
        <v>-4.5199999999999996</v>
      </c>
      <c r="I207" s="2" t="str" cm="1">
        <f t="array" aca="1" ref="I207" ca="1">_xlfn.IFS(
    ABS(Fuel_prices[[#This Row],[%_change]])&gt;50,"SEVERE IMPACT",
    ABS(Fuel_prices[[#This Row],[%_change]])&gt;25,"HIGH IMPACT",
    ABS(Fuel_prices[[#This Row],[%_change]])&gt;5,"MID IMPACT",
    ABS(Fuel_prices[[#This Row],[%_change]])&lt;=5,"LITTLE IMPACT"
)</f>
        <v>LITTLE IMPACT</v>
      </c>
    </row>
    <row r="208" spans="1:9" x14ac:dyDescent="0.25">
      <c r="A208" s="4">
        <v>31837</v>
      </c>
      <c r="B208" s="6" t="str">
        <f>_xlfn.CONCAT("Q",CEILING(Fuel_prices[[#This Row],[Month]]/3,1))</f>
        <v>Q1</v>
      </c>
      <c r="C208" s="6">
        <f>MONTH(Fuel_prices[[#This Row],[Date]])</f>
        <v>3</v>
      </c>
      <c r="D208" s="6" t="str">
        <f>TEXT(Fuel_prices[[#This Row],[Date]],"mmm")</f>
        <v>Mar</v>
      </c>
      <c r="E208" s="6">
        <f>YEAR(Fuel_prices[[#This Row],[Date]])</f>
        <v>1987</v>
      </c>
      <c r="F208" s="5">
        <v>17.75</v>
      </c>
      <c r="G208" s="2">
        <f ca="1">ROUND(IFERROR((Fuel_prices[[#This Row],[Crude_Oil_Price]]-OFFSET(Fuel_prices[[#This Row],[Crude_Oil_Price]],-1,0)),0),2)</f>
        <v>0.5</v>
      </c>
      <c r="H208" s="2">
        <f ca="1">ROUND((IFERROR((Fuel_prices[[#This Row],[Crude_Oil_Price]]-OFFSET(Fuel_prices[[#This Row],[Crude_Oil_Price]],-1,0))/(OFFSET(Fuel_prices[[#This Row],[Crude_Oil_Price]],-1,0)),0))*100,2)</f>
        <v>2.9</v>
      </c>
      <c r="I208" s="2" t="str" cm="1">
        <f t="array" aca="1" ref="I208" ca="1">_xlfn.IFS(
    ABS(Fuel_prices[[#This Row],[%_change]])&gt;50,"SEVERE IMPACT",
    ABS(Fuel_prices[[#This Row],[%_change]])&gt;25,"HIGH IMPACT",
    ABS(Fuel_prices[[#This Row],[%_change]])&gt;5,"MID IMPACT",
    ABS(Fuel_prices[[#This Row],[%_change]])&lt;=5,"LITTLE IMPACT"
)</f>
        <v>LITTLE IMPACT</v>
      </c>
    </row>
    <row r="209" spans="1:9" x14ac:dyDescent="0.25">
      <c r="A209" s="4">
        <v>31868</v>
      </c>
      <c r="B209" s="6" t="str">
        <f>_xlfn.CONCAT("Q",CEILING(Fuel_prices[[#This Row],[Month]]/3,1))</f>
        <v>Q2</v>
      </c>
      <c r="C209" s="6">
        <f>MONTH(Fuel_prices[[#This Row],[Date]])</f>
        <v>4</v>
      </c>
      <c r="D209" s="6" t="str">
        <f>TEXT(Fuel_prices[[#This Row],[Date]],"mmm")</f>
        <v>Apr</v>
      </c>
      <c r="E209" s="6">
        <f>YEAR(Fuel_prices[[#This Row],[Date]])</f>
        <v>1987</v>
      </c>
      <c r="F209" s="5">
        <v>17.899999999999999</v>
      </c>
      <c r="G209" s="2">
        <f ca="1">ROUND(IFERROR((Fuel_prices[[#This Row],[Crude_Oil_Price]]-OFFSET(Fuel_prices[[#This Row],[Crude_Oil_Price]],-1,0)),0),2)</f>
        <v>0.15</v>
      </c>
      <c r="H209" s="2">
        <f ca="1">ROUND((IFERROR((Fuel_prices[[#This Row],[Crude_Oil_Price]]-OFFSET(Fuel_prices[[#This Row],[Crude_Oil_Price]],-1,0))/(OFFSET(Fuel_prices[[#This Row],[Crude_Oil_Price]],-1,0)),0))*100,2)</f>
        <v>0.85</v>
      </c>
      <c r="I209" s="2" t="str" cm="1">
        <f t="array" aca="1" ref="I209" ca="1">_xlfn.IFS(
    ABS(Fuel_prices[[#This Row],[%_change]])&gt;50,"SEVERE IMPACT",
    ABS(Fuel_prices[[#This Row],[%_change]])&gt;25,"HIGH IMPACT",
    ABS(Fuel_prices[[#This Row],[%_change]])&gt;5,"MID IMPACT",
    ABS(Fuel_prices[[#This Row],[%_change]])&lt;=5,"LITTLE IMPACT"
)</f>
        <v>LITTLE IMPACT</v>
      </c>
    </row>
    <row r="210" spans="1:9" x14ac:dyDescent="0.25">
      <c r="A210" s="4">
        <v>31898</v>
      </c>
      <c r="B210" s="6" t="str">
        <f>_xlfn.CONCAT("Q",CEILING(Fuel_prices[[#This Row],[Month]]/3,1))</f>
        <v>Q2</v>
      </c>
      <c r="C210" s="6">
        <f>MONTH(Fuel_prices[[#This Row],[Date]])</f>
        <v>5</v>
      </c>
      <c r="D210" s="6" t="str">
        <f>TEXT(Fuel_prices[[#This Row],[Date]],"mmm")</f>
        <v>May</v>
      </c>
      <c r="E210" s="6">
        <f>YEAR(Fuel_prices[[#This Row],[Date]])</f>
        <v>1987</v>
      </c>
      <c r="F210" s="5">
        <v>18.399999999999999</v>
      </c>
      <c r="G210" s="2">
        <f ca="1">ROUND(IFERROR((Fuel_prices[[#This Row],[Crude_Oil_Price]]-OFFSET(Fuel_prices[[#This Row],[Crude_Oil_Price]],-1,0)),0),2)</f>
        <v>0.5</v>
      </c>
      <c r="H210" s="2">
        <f ca="1">ROUND((IFERROR((Fuel_prices[[#This Row],[Crude_Oil_Price]]-OFFSET(Fuel_prices[[#This Row],[Crude_Oil_Price]],-1,0))/(OFFSET(Fuel_prices[[#This Row],[Crude_Oil_Price]],-1,0)),0))*100,2)</f>
        <v>2.79</v>
      </c>
      <c r="I210" s="2" t="str" cm="1">
        <f t="array" aca="1" ref="I210" ca="1">_xlfn.IFS(
    ABS(Fuel_prices[[#This Row],[%_change]])&gt;50,"SEVERE IMPACT",
    ABS(Fuel_prices[[#This Row],[%_change]])&gt;25,"HIGH IMPACT",
    ABS(Fuel_prices[[#This Row],[%_change]])&gt;5,"MID IMPACT",
    ABS(Fuel_prices[[#This Row],[%_change]])&lt;=5,"LITTLE IMPACT"
)</f>
        <v>LITTLE IMPACT</v>
      </c>
    </row>
    <row r="211" spans="1:9" x14ac:dyDescent="0.25">
      <c r="A211" s="4">
        <v>31929</v>
      </c>
      <c r="B211" s="6" t="str">
        <f>_xlfn.CONCAT("Q",CEILING(Fuel_prices[[#This Row],[Month]]/3,1))</f>
        <v>Q2</v>
      </c>
      <c r="C211" s="6">
        <f>MONTH(Fuel_prices[[#This Row],[Date]])</f>
        <v>6</v>
      </c>
      <c r="D211" s="6" t="str">
        <f>TEXT(Fuel_prices[[#This Row],[Date]],"mmm")</f>
        <v>Jun</v>
      </c>
      <c r="E211" s="6">
        <f>YEAR(Fuel_prices[[#This Row],[Date]])</f>
        <v>1987</v>
      </c>
      <c r="F211" s="5">
        <v>18.716666666670001</v>
      </c>
      <c r="G211" s="2">
        <f ca="1">ROUND(IFERROR((Fuel_prices[[#This Row],[Crude_Oil_Price]]-OFFSET(Fuel_prices[[#This Row],[Crude_Oil_Price]],-1,0)),0),2)</f>
        <v>0.32</v>
      </c>
      <c r="H211" s="2">
        <f ca="1">ROUND((IFERROR((Fuel_prices[[#This Row],[Crude_Oil_Price]]-OFFSET(Fuel_prices[[#This Row],[Crude_Oil_Price]],-1,0))/(OFFSET(Fuel_prices[[#This Row],[Crude_Oil_Price]],-1,0)),0))*100,2)</f>
        <v>1.72</v>
      </c>
      <c r="I211" s="2" t="str" cm="1">
        <f t="array" aca="1" ref="I211" ca="1">_xlfn.IFS(
    ABS(Fuel_prices[[#This Row],[%_change]])&gt;50,"SEVERE IMPACT",
    ABS(Fuel_prices[[#This Row],[%_change]])&gt;25,"HIGH IMPACT",
    ABS(Fuel_prices[[#This Row],[%_change]])&gt;5,"MID IMPACT",
    ABS(Fuel_prices[[#This Row],[%_change]])&lt;=5,"LITTLE IMPACT"
)</f>
        <v>LITTLE IMPACT</v>
      </c>
    </row>
    <row r="212" spans="1:9" x14ac:dyDescent="0.25">
      <c r="A212" s="4">
        <v>31959</v>
      </c>
      <c r="B212" s="6" t="str">
        <f>_xlfn.CONCAT("Q",CEILING(Fuel_prices[[#This Row],[Month]]/3,1))</f>
        <v>Q3</v>
      </c>
      <c r="C212" s="6">
        <f>MONTH(Fuel_prices[[#This Row],[Date]])</f>
        <v>7</v>
      </c>
      <c r="D212" s="6" t="str">
        <f>TEXT(Fuel_prices[[#This Row],[Date]],"mmm")</f>
        <v>Jul</v>
      </c>
      <c r="E212" s="6">
        <f>YEAR(Fuel_prices[[#This Row],[Date]])</f>
        <v>1987</v>
      </c>
      <c r="F212" s="5">
        <v>19.61666666667</v>
      </c>
      <c r="G212" s="2">
        <f ca="1">ROUND(IFERROR((Fuel_prices[[#This Row],[Crude_Oil_Price]]-OFFSET(Fuel_prices[[#This Row],[Crude_Oil_Price]],-1,0)),0),2)</f>
        <v>0.9</v>
      </c>
      <c r="H212" s="2">
        <f ca="1">ROUND((IFERROR((Fuel_prices[[#This Row],[Crude_Oil_Price]]-OFFSET(Fuel_prices[[#This Row],[Crude_Oil_Price]],-1,0))/(OFFSET(Fuel_prices[[#This Row],[Crude_Oil_Price]],-1,0)),0))*100,2)</f>
        <v>4.8099999999999996</v>
      </c>
      <c r="I212" s="2" t="str" cm="1">
        <f t="array" aca="1" ref="I212" ca="1">_xlfn.IFS(
    ABS(Fuel_prices[[#This Row],[%_change]])&gt;50,"SEVERE IMPACT",
    ABS(Fuel_prices[[#This Row],[%_change]])&gt;25,"HIGH IMPACT",
    ABS(Fuel_prices[[#This Row],[%_change]])&gt;5,"MID IMPACT",
    ABS(Fuel_prices[[#This Row],[%_change]])&lt;=5,"LITTLE IMPACT"
)</f>
        <v>LITTLE IMPACT</v>
      </c>
    </row>
    <row r="213" spans="1:9" x14ac:dyDescent="0.25">
      <c r="A213" s="4">
        <v>31990</v>
      </c>
      <c r="B213" s="6" t="str">
        <f>_xlfn.CONCAT("Q",CEILING(Fuel_prices[[#This Row],[Month]]/3,1))</f>
        <v>Q3</v>
      </c>
      <c r="C213" s="6">
        <f>MONTH(Fuel_prices[[#This Row],[Date]])</f>
        <v>8</v>
      </c>
      <c r="D213" s="6" t="str">
        <f>TEXT(Fuel_prices[[#This Row],[Date]],"mmm")</f>
        <v>Aug</v>
      </c>
      <c r="E213" s="6">
        <f>YEAR(Fuel_prices[[#This Row],[Date]])</f>
        <v>1987</v>
      </c>
      <c r="F213" s="5">
        <v>18.816666666669999</v>
      </c>
      <c r="G213" s="2">
        <f ca="1">ROUND(IFERROR((Fuel_prices[[#This Row],[Crude_Oil_Price]]-OFFSET(Fuel_prices[[#This Row],[Crude_Oil_Price]],-1,0)),0),2)</f>
        <v>-0.8</v>
      </c>
      <c r="H213" s="2">
        <f ca="1">ROUND((IFERROR((Fuel_prices[[#This Row],[Crude_Oil_Price]]-OFFSET(Fuel_prices[[#This Row],[Crude_Oil_Price]],-1,0))/(OFFSET(Fuel_prices[[#This Row],[Crude_Oil_Price]],-1,0)),0))*100,2)</f>
        <v>-4.08</v>
      </c>
      <c r="I213" s="2" t="str" cm="1">
        <f t="array" aca="1" ref="I213" ca="1">_xlfn.IFS(
    ABS(Fuel_prices[[#This Row],[%_change]])&gt;50,"SEVERE IMPACT",
    ABS(Fuel_prices[[#This Row],[%_change]])&gt;25,"HIGH IMPACT",
    ABS(Fuel_prices[[#This Row],[%_change]])&gt;5,"MID IMPACT",
    ABS(Fuel_prices[[#This Row],[%_change]])&lt;=5,"LITTLE IMPACT"
)</f>
        <v>LITTLE IMPACT</v>
      </c>
    </row>
    <row r="214" spans="1:9" x14ac:dyDescent="0.25">
      <c r="A214" s="4">
        <v>32021</v>
      </c>
      <c r="B214" s="6" t="str">
        <f>_xlfn.CONCAT("Q",CEILING(Fuel_prices[[#This Row],[Month]]/3,1))</f>
        <v>Q3</v>
      </c>
      <c r="C214" s="6">
        <f>MONTH(Fuel_prices[[#This Row],[Date]])</f>
        <v>9</v>
      </c>
      <c r="D214" s="6" t="str">
        <f>TEXT(Fuel_prices[[#This Row],[Date]],"mmm")</f>
        <v>Sep</v>
      </c>
      <c r="E214" s="6">
        <f>YEAR(Fuel_prices[[#This Row],[Date]])</f>
        <v>1987</v>
      </c>
      <c r="F214" s="5">
        <v>18.283333333329999</v>
      </c>
      <c r="G214" s="2">
        <f ca="1">ROUND(IFERROR((Fuel_prices[[#This Row],[Crude_Oil_Price]]-OFFSET(Fuel_prices[[#This Row],[Crude_Oil_Price]],-1,0)),0),2)</f>
        <v>-0.53</v>
      </c>
      <c r="H214" s="2">
        <f ca="1">ROUND((IFERROR((Fuel_prices[[#This Row],[Crude_Oil_Price]]-OFFSET(Fuel_prices[[#This Row],[Crude_Oil_Price]],-1,0))/(OFFSET(Fuel_prices[[#This Row],[Crude_Oil_Price]],-1,0)),0))*100,2)</f>
        <v>-2.83</v>
      </c>
      <c r="I214" s="2" t="str" cm="1">
        <f t="array" aca="1" ref="I214" ca="1">_xlfn.IFS(
    ABS(Fuel_prices[[#This Row],[%_change]])&gt;50,"SEVERE IMPACT",
    ABS(Fuel_prices[[#This Row],[%_change]])&gt;25,"HIGH IMPACT",
    ABS(Fuel_prices[[#This Row],[%_change]])&gt;5,"MID IMPACT",
    ABS(Fuel_prices[[#This Row],[%_change]])&lt;=5,"LITTLE IMPACT"
)</f>
        <v>LITTLE IMPACT</v>
      </c>
    </row>
    <row r="215" spans="1:9" x14ac:dyDescent="0.25">
      <c r="A215" s="4">
        <v>32051</v>
      </c>
      <c r="B215" s="6" t="str">
        <f>_xlfn.CONCAT("Q",CEILING(Fuel_prices[[#This Row],[Month]]/3,1))</f>
        <v>Q4</v>
      </c>
      <c r="C215" s="6">
        <f>MONTH(Fuel_prices[[#This Row],[Date]])</f>
        <v>10</v>
      </c>
      <c r="D215" s="6" t="str">
        <f>TEXT(Fuel_prices[[#This Row],[Date]],"mmm")</f>
        <v>Oct</v>
      </c>
      <c r="E215" s="6">
        <f>YEAR(Fuel_prices[[#This Row],[Date]])</f>
        <v>1987</v>
      </c>
      <c r="F215" s="5">
        <v>18.566666666669999</v>
      </c>
      <c r="G215" s="2">
        <f ca="1">ROUND(IFERROR((Fuel_prices[[#This Row],[Crude_Oil_Price]]-OFFSET(Fuel_prices[[#This Row],[Crude_Oil_Price]],-1,0)),0),2)</f>
        <v>0.28000000000000003</v>
      </c>
      <c r="H215" s="2">
        <f ca="1">ROUND((IFERROR((Fuel_prices[[#This Row],[Crude_Oil_Price]]-OFFSET(Fuel_prices[[#This Row],[Crude_Oil_Price]],-1,0))/(OFFSET(Fuel_prices[[#This Row],[Crude_Oil_Price]],-1,0)),0))*100,2)</f>
        <v>1.55</v>
      </c>
      <c r="I215" s="2" t="str" cm="1">
        <f t="array" aca="1" ref="I215" ca="1">_xlfn.IFS(
    ABS(Fuel_prices[[#This Row],[%_change]])&gt;50,"SEVERE IMPACT",
    ABS(Fuel_prices[[#This Row],[%_change]])&gt;25,"HIGH IMPACT",
    ABS(Fuel_prices[[#This Row],[%_change]])&gt;5,"MID IMPACT",
    ABS(Fuel_prices[[#This Row],[%_change]])&lt;=5,"LITTLE IMPACT"
)</f>
        <v>LITTLE IMPACT</v>
      </c>
    </row>
    <row r="216" spans="1:9" x14ac:dyDescent="0.25">
      <c r="A216" s="4">
        <v>32082</v>
      </c>
      <c r="B216" s="6" t="str">
        <f>_xlfn.CONCAT("Q",CEILING(Fuel_prices[[#This Row],[Month]]/3,1))</f>
        <v>Q4</v>
      </c>
      <c r="C216" s="6">
        <f>MONTH(Fuel_prices[[#This Row],[Date]])</f>
        <v>11</v>
      </c>
      <c r="D216" s="6" t="str">
        <f>TEXT(Fuel_prices[[#This Row],[Date]],"mmm")</f>
        <v>Nov</v>
      </c>
      <c r="E216" s="6">
        <f>YEAR(Fuel_prices[[#This Row],[Date]])</f>
        <v>1987</v>
      </c>
      <c r="F216" s="5">
        <v>17.75</v>
      </c>
      <c r="G216" s="2">
        <f ca="1">ROUND(IFERROR((Fuel_prices[[#This Row],[Crude_Oil_Price]]-OFFSET(Fuel_prices[[#This Row],[Crude_Oil_Price]],-1,0)),0),2)</f>
        <v>-0.82</v>
      </c>
      <c r="H216" s="2">
        <f ca="1">ROUND((IFERROR((Fuel_prices[[#This Row],[Crude_Oil_Price]]-OFFSET(Fuel_prices[[#This Row],[Crude_Oil_Price]],-1,0))/(OFFSET(Fuel_prices[[#This Row],[Crude_Oil_Price]],-1,0)),0))*100,2)</f>
        <v>-4.4000000000000004</v>
      </c>
      <c r="I216" s="2" t="str" cm="1">
        <f t="array" aca="1" ref="I216" ca="1">_xlfn.IFS(
    ABS(Fuel_prices[[#This Row],[%_change]])&gt;50,"SEVERE IMPACT",
    ABS(Fuel_prices[[#This Row],[%_change]])&gt;25,"HIGH IMPACT",
    ABS(Fuel_prices[[#This Row],[%_change]])&gt;5,"MID IMPACT",
    ABS(Fuel_prices[[#This Row],[%_change]])&lt;=5,"LITTLE IMPACT"
)</f>
        <v>LITTLE IMPACT</v>
      </c>
    </row>
    <row r="217" spans="1:9" x14ac:dyDescent="0.25">
      <c r="A217" s="4">
        <v>32112</v>
      </c>
      <c r="B217" s="6" t="str">
        <f>_xlfn.CONCAT("Q",CEILING(Fuel_prices[[#This Row],[Month]]/3,1))</f>
        <v>Q4</v>
      </c>
      <c r="C217" s="6">
        <f>MONTH(Fuel_prices[[#This Row],[Date]])</f>
        <v>12</v>
      </c>
      <c r="D217" s="6" t="str">
        <f>TEXT(Fuel_prices[[#This Row],[Date]],"mmm")</f>
        <v>Dec</v>
      </c>
      <c r="E217" s="6">
        <f>YEAR(Fuel_prices[[#This Row],[Date]])</f>
        <v>1987</v>
      </c>
      <c r="F217" s="5">
        <v>16.63333333333</v>
      </c>
      <c r="G217" s="2">
        <f ca="1">ROUND(IFERROR((Fuel_prices[[#This Row],[Crude_Oil_Price]]-OFFSET(Fuel_prices[[#This Row],[Crude_Oil_Price]],-1,0)),0),2)</f>
        <v>-1.1200000000000001</v>
      </c>
      <c r="H217" s="2">
        <f ca="1">ROUND((IFERROR((Fuel_prices[[#This Row],[Crude_Oil_Price]]-OFFSET(Fuel_prices[[#This Row],[Crude_Oil_Price]],-1,0))/(OFFSET(Fuel_prices[[#This Row],[Crude_Oil_Price]],-1,0)),0))*100,2)</f>
        <v>-6.29</v>
      </c>
      <c r="I217" s="2" t="str" cm="1">
        <f t="array" aca="1" ref="I217" ca="1">_xlfn.IFS(
    ABS(Fuel_prices[[#This Row],[%_change]])&gt;50,"SEVERE IMPACT",
    ABS(Fuel_prices[[#This Row],[%_change]])&gt;25,"HIGH IMPACT",
    ABS(Fuel_prices[[#This Row],[%_change]])&gt;5,"MID IMPACT",
    ABS(Fuel_prices[[#This Row],[%_change]])&lt;=5,"LITTLE IMPACT"
)</f>
        <v>MID IMPACT</v>
      </c>
    </row>
    <row r="218" spans="1:9" x14ac:dyDescent="0.25">
      <c r="A218" s="4">
        <v>32143</v>
      </c>
      <c r="B218" s="6" t="str">
        <f>_xlfn.CONCAT("Q",CEILING(Fuel_prices[[#This Row],[Month]]/3,1))</f>
        <v>Q1</v>
      </c>
      <c r="C218" s="6">
        <f>MONTH(Fuel_prices[[#This Row],[Date]])</f>
        <v>1</v>
      </c>
      <c r="D218" s="6" t="str">
        <f>TEXT(Fuel_prices[[#This Row],[Date]],"mmm")</f>
        <v>Jan</v>
      </c>
      <c r="E218" s="6">
        <f>YEAR(Fuel_prices[[#This Row],[Date]])</f>
        <v>1988</v>
      </c>
      <c r="F218" s="5">
        <v>16.466666666670001</v>
      </c>
      <c r="G218" s="2">
        <f ca="1">ROUND(IFERROR((Fuel_prices[[#This Row],[Crude_Oil_Price]]-OFFSET(Fuel_prices[[#This Row],[Crude_Oil_Price]],-1,0)),0),2)</f>
        <v>-0.17</v>
      </c>
      <c r="H218" s="2">
        <f ca="1">ROUND((IFERROR((Fuel_prices[[#This Row],[Crude_Oil_Price]]-OFFSET(Fuel_prices[[#This Row],[Crude_Oil_Price]],-1,0))/(OFFSET(Fuel_prices[[#This Row],[Crude_Oil_Price]],-1,0)),0))*100,2)</f>
        <v>-1</v>
      </c>
      <c r="I218" s="2" t="str" cm="1">
        <f t="array" aca="1" ref="I218" ca="1">_xlfn.IFS(
    ABS(Fuel_prices[[#This Row],[%_change]])&gt;50,"SEVERE IMPACT",
    ABS(Fuel_prices[[#This Row],[%_change]])&gt;25,"HIGH IMPACT",
    ABS(Fuel_prices[[#This Row],[%_change]])&gt;5,"MID IMPACT",
    ABS(Fuel_prices[[#This Row],[%_change]])&lt;=5,"LITTLE IMPACT"
)</f>
        <v>LITTLE IMPACT</v>
      </c>
    </row>
    <row r="219" spans="1:9" x14ac:dyDescent="0.25">
      <c r="A219" s="4">
        <v>32174</v>
      </c>
      <c r="B219" s="6" t="str">
        <f>_xlfn.CONCAT("Q",CEILING(Fuel_prices[[#This Row],[Month]]/3,1))</f>
        <v>Q1</v>
      </c>
      <c r="C219" s="6">
        <f>MONTH(Fuel_prices[[#This Row],[Date]])</f>
        <v>2</v>
      </c>
      <c r="D219" s="6" t="str">
        <f>TEXT(Fuel_prices[[#This Row],[Date]],"mmm")</f>
        <v>Feb</v>
      </c>
      <c r="E219" s="6">
        <f>YEAR(Fuel_prices[[#This Row],[Date]])</f>
        <v>1988</v>
      </c>
      <c r="F219" s="5">
        <v>15.85</v>
      </c>
      <c r="G219" s="2">
        <f ca="1">ROUND(IFERROR((Fuel_prices[[#This Row],[Crude_Oil_Price]]-OFFSET(Fuel_prices[[#This Row],[Crude_Oil_Price]],-1,0)),0),2)</f>
        <v>-0.62</v>
      </c>
      <c r="H219" s="2">
        <f ca="1">ROUND((IFERROR((Fuel_prices[[#This Row],[Crude_Oil_Price]]-OFFSET(Fuel_prices[[#This Row],[Crude_Oil_Price]],-1,0))/(OFFSET(Fuel_prices[[#This Row],[Crude_Oil_Price]],-1,0)),0))*100,2)</f>
        <v>-3.74</v>
      </c>
      <c r="I219" s="2" t="str" cm="1">
        <f t="array" aca="1" ref="I219" ca="1">_xlfn.IFS(
    ABS(Fuel_prices[[#This Row],[%_change]])&gt;50,"SEVERE IMPACT",
    ABS(Fuel_prices[[#This Row],[%_change]])&gt;25,"HIGH IMPACT",
    ABS(Fuel_prices[[#This Row],[%_change]])&gt;5,"MID IMPACT",
    ABS(Fuel_prices[[#This Row],[%_change]])&lt;=5,"LITTLE IMPACT"
)</f>
        <v>LITTLE IMPACT</v>
      </c>
    </row>
    <row r="220" spans="1:9" x14ac:dyDescent="0.25">
      <c r="A220" s="4">
        <v>32203</v>
      </c>
      <c r="B220" s="6" t="str">
        <f>_xlfn.CONCAT("Q",CEILING(Fuel_prices[[#This Row],[Month]]/3,1))</f>
        <v>Q1</v>
      </c>
      <c r="C220" s="6">
        <f>MONTH(Fuel_prices[[#This Row],[Date]])</f>
        <v>3</v>
      </c>
      <c r="D220" s="6" t="str">
        <f>TEXT(Fuel_prices[[#This Row],[Date]],"mmm")</f>
        <v>Mar</v>
      </c>
      <c r="E220" s="6">
        <f>YEAR(Fuel_prices[[#This Row],[Date]])</f>
        <v>1988</v>
      </c>
      <c r="F220" s="5">
        <v>14.783333333330001</v>
      </c>
      <c r="G220" s="2">
        <f ca="1">ROUND(IFERROR((Fuel_prices[[#This Row],[Crude_Oil_Price]]-OFFSET(Fuel_prices[[#This Row],[Crude_Oil_Price]],-1,0)),0),2)</f>
        <v>-1.07</v>
      </c>
      <c r="H220" s="2">
        <f ca="1">ROUND((IFERROR((Fuel_prices[[#This Row],[Crude_Oil_Price]]-OFFSET(Fuel_prices[[#This Row],[Crude_Oil_Price]],-1,0))/(OFFSET(Fuel_prices[[#This Row],[Crude_Oil_Price]],-1,0)),0))*100,2)</f>
        <v>-6.73</v>
      </c>
      <c r="I220" s="2" t="str" cm="1">
        <f t="array" aca="1" ref="I220" ca="1">_xlfn.IFS(
    ABS(Fuel_prices[[#This Row],[%_change]])&gt;50,"SEVERE IMPACT",
    ABS(Fuel_prices[[#This Row],[%_change]])&gt;25,"HIGH IMPACT",
    ABS(Fuel_prices[[#This Row],[%_change]])&gt;5,"MID IMPACT",
    ABS(Fuel_prices[[#This Row],[%_change]])&lt;=5,"LITTLE IMPACT"
)</f>
        <v>MID IMPACT</v>
      </c>
    </row>
    <row r="221" spans="1:9" x14ac:dyDescent="0.25">
      <c r="A221" s="4">
        <v>32234</v>
      </c>
      <c r="B221" s="6" t="str">
        <f>_xlfn.CONCAT("Q",CEILING(Fuel_prices[[#This Row],[Month]]/3,1))</f>
        <v>Q2</v>
      </c>
      <c r="C221" s="6">
        <f>MONTH(Fuel_prices[[#This Row],[Date]])</f>
        <v>4</v>
      </c>
      <c r="D221" s="6" t="str">
        <f>TEXT(Fuel_prices[[#This Row],[Date]],"mmm")</f>
        <v>Apr</v>
      </c>
      <c r="E221" s="6">
        <f>YEAR(Fuel_prices[[#This Row],[Date]])</f>
        <v>1988</v>
      </c>
      <c r="F221" s="5">
        <v>16.466666666670001</v>
      </c>
      <c r="G221" s="2">
        <f ca="1">ROUND(IFERROR((Fuel_prices[[#This Row],[Crude_Oil_Price]]-OFFSET(Fuel_prices[[#This Row],[Crude_Oil_Price]],-1,0)),0),2)</f>
        <v>1.68</v>
      </c>
      <c r="H221" s="2">
        <f ca="1">ROUND((IFERROR((Fuel_prices[[#This Row],[Crude_Oil_Price]]-OFFSET(Fuel_prices[[#This Row],[Crude_Oil_Price]],-1,0))/(OFFSET(Fuel_prices[[#This Row],[Crude_Oil_Price]],-1,0)),0))*100,2)</f>
        <v>11.39</v>
      </c>
      <c r="I221" s="2" t="str" cm="1">
        <f t="array" aca="1" ref="I221" ca="1">_xlfn.IFS(
    ABS(Fuel_prices[[#This Row],[%_change]])&gt;50,"SEVERE IMPACT",
    ABS(Fuel_prices[[#This Row],[%_change]])&gt;25,"HIGH IMPACT",
    ABS(Fuel_prices[[#This Row],[%_change]])&gt;5,"MID IMPACT",
    ABS(Fuel_prices[[#This Row],[%_change]])&lt;=5,"LITTLE IMPACT"
)</f>
        <v>MID IMPACT</v>
      </c>
    </row>
    <row r="222" spans="1:9" x14ac:dyDescent="0.25">
      <c r="A222" s="4">
        <v>32264</v>
      </c>
      <c r="B222" s="6" t="str">
        <f>_xlfn.CONCAT("Q",CEILING(Fuel_prices[[#This Row],[Month]]/3,1))</f>
        <v>Q2</v>
      </c>
      <c r="C222" s="6">
        <f>MONTH(Fuel_prices[[#This Row],[Date]])</f>
        <v>5</v>
      </c>
      <c r="D222" s="6" t="str">
        <f>TEXT(Fuel_prices[[#This Row],[Date]],"mmm")</f>
        <v>May</v>
      </c>
      <c r="E222" s="6">
        <f>YEAR(Fuel_prices[[#This Row],[Date]])</f>
        <v>1988</v>
      </c>
      <c r="F222" s="5">
        <v>16.216666666670001</v>
      </c>
      <c r="G222" s="2">
        <f ca="1">ROUND(IFERROR((Fuel_prices[[#This Row],[Crude_Oil_Price]]-OFFSET(Fuel_prices[[#This Row],[Crude_Oil_Price]],-1,0)),0),2)</f>
        <v>-0.25</v>
      </c>
      <c r="H222" s="2">
        <f ca="1">ROUND((IFERROR((Fuel_prices[[#This Row],[Crude_Oil_Price]]-OFFSET(Fuel_prices[[#This Row],[Crude_Oil_Price]],-1,0))/(OFFSET(Fuel_prices[[#This Row],[Crude_Oil_Price]],-1,0)),0))*100,2)</f>
        <v>-1.52</v>
      </c>
      <c r="I222" s="2" t="str" cm="1">
        <f t="array" aca="1" ref="I222" ca="1">_xlfn.IFS(
    ABS(Fuel_prices[[#This Row],[%_change]])&gt;50,"SEVERE IMPACT",
    ABS(Fuel_prices[[#This Row],[%_change]])&gt;25,"HIGH IMPACT",
    ABS(Fuel_prices[[#This Row],[%_change]])&gt;5,"MID IMPACT",
    ABS(Fuel_prices[[#This Row],[%_change]])&lt;=5,"LITTLE IMPACT"
)</f>
        <v>LITTLE IMPACT</v>
      </c>
    </row>
    <row r="223" spans="1:9" x14ac:dyDescent="0.25">
      <c r="A223" s="4">
        <v>32295</v>
      </c>
      <c r="B223" s="6" t="str">
        <f>_xlfn.CONCAT("Q",CEILING(Fuel_prices[[#This Row],[Month]]/3,1))</f>
        <v>Q2</v>
      </c>
      <c r="C223" s="6">
        <f>MONTH(Fuel_prices[[#This Row],[Date]])</f>
        <v>6</v>
      </c>
      <c r="D223" s="6" t="str">
        <f>TEXT(Fuel_prices[[#This Row],[Date]],"mmm")</f>
        <v>Jun</v>
      </c>
      <c r="E223" s="6">
        <f>YEAR(Fuel_prices[[#This Row],[Date]])</f>
        <v>1988</v>
      </c>
      <c r="F223" s="5">
        <v>15.33333333333</v>
      </c>
      <c r="G223" s="2">
        <f ca="1">ROUND(IFERROR((Fuel_prices[[#This Row],[Crude_Oil_Price]]-OFFSET(Fuel_prices[[#This Row],[Crude_Oil_Price]],-1,0)),0),2)</f>
        <v>-0.88</v>
      </c>
      <c r="H223" s="2">
        <f ca="1">ROUND((IFERROR((Fuel_prices[[#This Row],[Crude_Oil_Price]]-OFFSET(Fuel_prices[[#This Row],[Crude_Oil_Price]],-1,0))/(OFFSET(Fuel_prices[[#This Row],[Crude_Oil_Price]],-1,0)),0))*100,2)</f>
        <v>-5.45</v>
      </c>
      <c r="I223" s="2" t="str" cm="1">
        <f t="array" aca="1" ref="I223" ca="1">_xlfn.IFS(
    ABS(Fuel_prices[[#This Row],[%_change]])&gt;50,"SEVERE IMPACT",
    ABS(Fuel_prices[[#This Row],[%_change]])&gt;25,"HIGH IMPACT",
    ABS(Fuel_prices[[#This Row],[%_change]])&gt;5,"MID IMPACT",
    ABS(Fuel_prices[[#This Row],[%_change]])&lt;=5,"LITTLE IMPACT"
)</f>
        <v>MID IMPACT</v>
      </c>
    </row>
    <row r="224" spans="1:9" x14ac:dyDescent="0.25">
      <c r="A224" s="4">
        <v>32325</v>
      </c>
      <c r="B224" s="6" t="str">
        <f>_xlfn.CONCAT("Q",CEILING(Fuel_prices[[#This Row],[Month]]/3,1))</f>
        <v>Q3</v>
      </c>
      <c r="C224" s="6">
        <f>MONTH(Fuel_prices[[#This Row],[Date]])</f>
        <v>7</v>
      </c>
      <c r="D224" s="6" t="str">
        <f>TEXT(Fuel_prices[[#This Row],[Date]],"mmm")</f>
        <v>Jul</v>
      </c>
      <c r="E224" s="6">
        <f>YEAR(Fuel_prices[[#This Row],[Date]])</f>
        <v>1988</v>
      </c>
      <c r="F224" s="5">
        <v>14.48333333333</v>
      </c>
      <c r="G224" s="2">
        <f ca="1">ROUND(IFERROR((Fuel_prices[[#This Row],[Crude_Oil_Price]]-OFFSET(Fuel_prices[[#This Row],[Crude_Oil_Price]],-1,0)),0),2)</f>
        <v>-0.85</v>
      </c>
      <c r="H224" s="2">
        <f ca="1">ROUND((IFERROR((Fuel_prices[[#This Row],[Crude_Oil_Price]]-OFFSET(Fuel_prices[[#This Row],[Crude_Oil_Price]],-1,0))/(OFFSET(Fuel_prices[[#This Row],[Crude_Oil_Price]],-1,0)),0))*100,2)</f>
        <v>-5.54</v>
      </c>
      <c r="I224" s="2" t="str" cm="1">
        <f t="array" aca="1" ref="I224" ca="1">_xlfn.IFS(
    ABS(Fuel_prices[[#This Row],[%_change]])&gt;50,"SEVERE IMPACT",
    ABS(Fuel_prices[[#This Row],[%_change]])&gt;25,"HIGH IMPACT",
    ABS(Fuel_prices[[#This Row],[%_change]])&gt;5,"MID IMPACT",
    ABS(Fuel_prices[[#This Row],[%_change]])&lt;=5,"LITTLE IMPACT"
)</f>
        <v>MID IMPACT</v>
      </c>
    </row>
    <row r="225" spans="1:9" x14ac:dyDescent="0.25">
      <c r="A225" s="4">
        <v>32356</v>
      </c>
      <c r="B225" s="6" t="str">
        <f>_xlfn.CONCAT("Q",CEILING(Fuel_prices[[#This Row],[Month]]/3,1))</f>
        <v>Q3</v>
      </c>
      <c r="C225" s="6">
        <f>MONTH(Fuel_prices[[#This Row],[Date]])</f>
        <v>8</v>
      </c>
      <c r="D225" s="6" t="str">
        <f>TEXT(Fuel_prices[[#This Row],[Date]],"mmm")</f>
        <v>Aug</v>
      </c>
      <c r="E225" s="6">
        <f>YEAR(Fuel_prices[[#This Row],[Date]])</f>
        <v>1988</v>
      </c>
      <c r="F225" s="5">
        <v>14.55</v>
      </c>
      <c r="G225" s="2">
        <f ca="1">ROUND(IFERROR((Fuel_prices[[#This Row],[Crude_Oil_Price]]-OFFSET(Fuel_prices[[#This Row],[Crude_Oil_Price]],-1,0)),0),2)</f>
        <v>7.0000000000000007E-2</v>
      </c>
      <c r="H225" s="2">
        <f ca="1">ROUND((IFERROR((Fuel_prices[[#This Row],[Crude_Oil_Price]]-OFFSET(Fuel_prices[[#This Row],[Crude_Oil_Price]],-1,0))/(OFFSET(Fuel_prices[[#This Row],[Crude_Oil_Price]],-1,0)),0))*100,2)</f>
        <v>0.46</v>
      </c>
      <c r="I225" s="2" t="str" cm="1">
        <f t="array" aca="1" ref="I225" ca="1">_xlfn.IFS(
    ABS(Fuel_prices[[#This Row],[%_change]])&gt;50,"SEVERE IMPACT",
    ABS(Fuel_prices[[#This Row],[%_change]])&gt;25,"HIGH IMPACT",
    ABS(Fuel_prices[[#This Row],[%_change]])&gt;5,"MID IMPACT",
    ABS(Fuel_prices[[#This Row],[%_change]])&lt;=5,"LITTLE IMPACT"
)</f>
        <v>LITTLE IMPACT</v>
      </c>
    </row>
    <row r="226" spans="1:9" x14ac:dyDescent="0.25">
      <c r="A226" s="4">
        <v>32387</v>
      </c>
      <c r="B226" s="6" t="str">
        <f>_xlfn.CONCAT("Q",CEILING(Fuel_prices[[#This Row],[Month]]/3,1))</f>
        <v>Q3</v>
      </c>
      <c r="C226" s="6">
        <f>MONTH(Fuel_prices[[#This Row],[Date]])</f>
        <v>9</v>
      </c>
      <c r="D226" s="6" t="str">
        <f>TEXT(Fuel_prices[[#This Row],[Date]],"mmm")</f>
        <v>Sep</v>
      </c>
      <c r="E226" s="6">
        <f>YEAR(Fuel_prices[[#This Row],[Date]])</f>
        <v>1988</v>
      </c>
      <c r="F226" s="5">
        <v>13.1</v>
      </c>
      <c r="G226" s="2">
        <f ca="1">ROUND(IFERROR((Fuel_prices[[#This Row],[Crude_Oil_Price]]-OFFSET(Fuel_prices[[#This Row],[Crude_Oil_Price]],-1,0)),0),2)</f>
        <v>-1.45</v>
      </c>
      <c r="H226" s="2">
        <f ca="1">ROUND((IFERROR((Fuel_prices[[#This Row],[Crude_Oil_Price]]-OFFSET(Fuel_prices[[#This Row],[Crude_Oil_Price]],-1,0))/(OFFSET(Fuel_prices[[#This Row],[Crude_Oil_Price]],-1,0)),0))*100,2)</f>
        <v>-9.9700000000000006</v>
      </c>
      <c r="I226" s="2" t="str" cm="1">
        <f t="array" aca="1" ref="I226" ca="1">_xlfn.IFS(
    ABS(Fuel_prices[[#This Row],[%_change]])&gt;50,"SEVERE IMPACT",
    ABS(Fuel_prices[[#This Row],[%_change]])&gt;25,"HIGH IMPACT",
    ABS(Fuel_prices[[#This Row],[%_change]])&gt;5,"MID IMPACT",
    ABS(Fuel_prices[[#This Row],[%_change]])&lt;=5,"LITTLE IMPACT"
)</f>
        <v>MID IMPACT</v>
      </c>
    </row>
    <row r="227" spans="1:9" x14ac:dyDescent="0.25">
      <c r="A227" s="4">
        <v>32417</v>
      </c>
      <c r="B227" s="6" t="str">
        <f>_xlfn.CONCAT("Q",CEILING(Fuel_prices[[#This Row],[Month]]/3,1))</f>
        <v>Q4</v>
      </c>
      <c r="C227" s="6">
        <f>MONTH(Fuel_prices[[#This Row],[Date]])</f>
        <v>10</v>
      </c>
      <c r="D227" s="6" t="str">
        <f>TEXT(Fuel_prices[[#This Row],[Date]],"mmm")</f>
        <v>Oct</v>
      </c>
      <c r="E227" s="6">
        <f>YEAR(Fuel_prices[[#This Row],[Date]])</f>
        <v>1988</v>
      </c>
      <c r="F227" s="5">
        <v>12.183333333329999</v>
      </c>
      <c r="G227" s="2">
        <f ca="1">ROUND(IFERROR((Fuel_prices[[#This Row],[Crude_Oil_Price]]-OFFSET(Fuel_prices[[#This Row],[Crude_Oil_Price]],-1,0)),0),2)</f>
        <v>-0.92</v>
      </c>
      <c r="H227" s="2">
        <f ca="1">ROUND((IFERROR((Fuel_prices[[#This Row],[Crude_Oil_Price]]-OFFSET(Fuel_prices[[#This Row],[Crude_Oil_Price]],-1,0))/(OFFSET(Fuel_prices[[#This Row],[Crude_Oil_Price]],-1,0)),0))*100,2)</f>
        <v>-7</v>
      </c>
      <c r="I227" s="2" t="str" cm="1">
        <f t="array" aca="1" ref="I227" ca="1">_xlfn.IFS(
    ABS(Fuel_prices[[#This Row],[%_change]])&gt;50,"SEVERE IMPACT",
    ABS(Fuel_prices[[#This Row],[%_change]])&gt;25,"HIGH IMPACT",
    ABS(Fuel_prices[[#This Row],[%_change]])&gt;5,"MID IMPACT",
    ABS(Fuel_prices[[#This Row],[%_change]])&lt;=5,"LITTLE IMPACT"
)</f>
        <v>MID IMPACT</v>
      </c>
    </row>
    <row r="228" spans="1:9" x14ac:dyDescent="0.25">
      <c r="A228" s="4">
        <v>32448</v>
      </c>
      <c r="B228" s="6" t="str">
        <f>_xlfn.CONCAT("Q",CEILING(Fuel_prices[[#This Row],[Month]]/3,1))</f>
        <v>Q4</v>
      </c>
      <c r="C228" s="6">
        <f>MONTH(Fuel_prices[[#This Row],[Date]])</f>
        <v>11</v>
      </c>
      <c r="D228" s="6" t="str">
        <f>TEXT(Fuel_prices[[#This Row],[Date]],"mmm")</f>
        <v>Nov</v>
      </c>
      <c r="E228" s="6">
        <f>YEAR(Fuel_prices[[#This Row],[Date]])</f>
        <v>1988</v>
      </c>
      <c r="F228" s="5">
        <v>12.533333333330001</v>
      </c>
      <c r="G228" s="2">
        <f ca="1">ROUND(IFERROR((Fuel_prices[[#This Row],[Crude_Oil_Price]]-OFFSET(Fuel_prices[[#This Row],[Crude_Oil_Price]],-1,0)),0),2)</f>
        <v>0.35</v>
      </c>
      <c r="H228" s="2">
        <f ca="1">ROUND((IFERROR((Fuel_prices[[#This Row],[Crude_Oil_Price]]-OFFSET(Fuel_prices[[#This Row],[Crude_Oil_Price]],-1,0))/(OFFSET(Fuel_prices[[#This Row],[Crude_Oil_Price]],-1,0)),0))*100,2)</f>
        <v>2.87</v>
      </c>
      <c r="I228" s="2" t="str" cm="1">
        <f t="array" aca="1" ref="I228" ca="1">_xlfn.IFS(
    ABS(Fuel_prices[[#This Row],[%_change]])&gt;50,"SEVERE IMPACT",
    ABS(Fuel_prices[[#This Row],[%_change]])&gt;25,"HIGH IMPACT",
    ABS(Fuel_prices[[#This Row],[%_change]])&gt;5,"MID IMPACT",
    ABS(Fuel_prices[[#This Row],[%_change]])&lt;=5,"LITTLE IMPACT"
)</f>
        <v>LITTLE IMPACT</v>
      </c>
    </row>
    <row r="229" spans="1:9" x14ac:dyDescent="0.25">
      <c r="A229" s="4">
        <v>32478</v>
      </c>
      <c r="B229" s="6" t="str">
        <f>_xlfn.CONCAT("Q",CEILING(Fuel_prices[[#This Row],[Month]]/3,1))</f>
        <v>Q4</v>
      </c>
      <c r="C229" s="6">
        <f>MONTH(Fuel_prices[[#This Row],[Date]])</f>
        <v>12</v>
      </c>
      <c r="D229" s="6" t="str">
        <f>TEXT(Fuel_prices[[#This Row],[Date]],"mmm")</f>
        <v>Dec</v>
      </c>
      <c r="E229" s="6">
        <f>YEAR(Fuel_prices[[#This Row],[Date]])</f>
        <v>1988</v>
      </c>
      <c r="F229" s="5">
        <v>14.65</v>
      </c>
      <c r="G229" s="2">
        <f ca="1">ROUND(IFERROR((Fuel_prices[[#This Row],[Crude_Oil_Price]]-OFFSET(Fuel_prices[[#This Row],[Crude_Oil_Price]],-1,0)),0),2)</f>
        <v>2.12</v>
      </c>
      <c r="H229" s="2">
        <f ca="1">ROUND((IFERROR((Fuel_prices[[#This Row],[Crude_Oil_Price]]-OFFSET(Fuel_prices[[#This Row],[Crude_Oil_Price]],-1,0))/(OFFSET(Fuel_prices[[#This Row],[Crude_Oil_Price]],-1,0)),0))*100,2)</f>
        <v>16.89</v>
      </c>
      <c r="I229" s="2" t="str" cm="1">
        <f t="array" aca="1" ref="I229" ca="1">_xlfn.IFS(
    ABS(Fuel_prices[[#This Row],[%_change]])&gt;50,"SEVERE IMPACT",
    ABS(Fuel_prices[[#This Row],[%_change]])&gt;25,"HIGH IMPACT",
    ABS(Fuel_prices[[#This Row],[%_change]])&gt;5,"MID IMPACT",
    ABS(Fuel_prices[[#This Row],[%_change]])&lt;=5,"LITTLE IMPACT"
)</f>
        <v>MID IMPACT</v>
      </c>
    </row>
    <row r="230" spans="1:9" x14ac:dyDescent="0.25">
      <c r="A230" s="4">
        <v>32509</v>
      </c>
      <c r="B230" s="6" t="str">
        <f>_xlfn.CONCAT("Q",CEILING(Fuel_prices[[#This Row],[Month]]/3,1))</f>
        <v>Q1</v>
      </c>
      <c r="C230" s="6">
        <f>MONTH(Fuel_prices[[#This Row],[Date]])</f>
        <v>1</v>
      </c>
      <c r="D230" s="6" t="str">
        <f>TEXT(Fuel_prices[[#This Row],[Date]],"mmm")</f>
        <v>Jan</v>
      </c>
      <c r="E230" s="6">
        <f>YEAR(Fuel_prices[[#This Row],[Date]])</f>
        <v>1989</v>
      </c>
      <c r="F230" s="5">
        <v>16.483333333329998</v>
      </c>
      <c r="G230" s="2">
        <f ca="1">ROUND(IFERROR((Fuel_prices[[#This Row],[Crude_Oil_Price]]-OFFSET(Fuel_prices[[#This Row],[Crude_Oil_Price]],-1,0)),0),2)</f>
        <v>1.83</v>
      </c>
      <c r="H230" s="2">
        <f ca="1">ROUND((IFERROR((Fuel_prices[[#This Row],[Crude_Oil_Price]]-OFFSET(Fuel_prices[[#This Row],[Crude_Oil_Price]],-1,0))/(OFFSET(Fuel_prices[[#This Row],[Crude_Oil_Price]],-1,0)),0))*100,2)</f>
        <v>12.51</v>
      </c>
      <c r="I230" s="2" t="str" cm="1">
        <f t="array" aca="1" ref="I230" ca="1">_xlfn.IFS(
    ABS(Fuel_prices[[#This Row],[%_change]])&gt;50,"SEVERE IMPACT",
    ABS(Fuel_prices[[#This Row],[%_change]])&gt;25,"HIGH IMPACT",
    ABS(Fuel_prices[[#This Row],[%_change]])&gt;5,"MID IMPACT",
    ABS(Fuel_prices[[#This Row],[%_change]])&lt;=5,"LITTLE IMPACT"
)</f>
        <v>MID IMPACT</v>
      </c>
    </row>
    <row r="231" spans="1:9" x14ac:dyDescent="0.25">
      <c r="A231" s="4">
        <v>32540</v>
      </c>
      <c r="B231" s="6" t="str">
        <f>_xlfn.CONCAT("Q",CEILING(Fuel_prices[[#This Row],[Month]]/3,1))</f>
        <v>Q1</v>
      </c>
      <c r="C231" s="6">
        <f>MONTH(Fuel_prices[[#This Row],[Date]])</f>
        <v>2</v>
      </c>
      <c r="D231" s="6" t="str">
        <f>TEXT(Fuel_prices[[#This Row],[Date]],"mmm")</f>
        <v>Feb</v>
      </c>
      <c r="E231" s="6">
        <f>YEAR(Fuel_prices[[#This Row],[Date]])</f>
        <v>1989</v>
      </c>
      <c r="F231" s="5">
        <v>16.350000000000001</v>
      </c>
      <c r="G231" s="2">
        <f ca="1">ROUND(IFERROR((Fuel_prices[[#This Row],[Crude_Oil_Price]]-OFFSET(Fuel_prices[[#This Row],[Crude_Oil_Price]],-1,0)),0),2)</f>
        <v>-0.13</v>
      </c>
      <c r="H231" s="2">
        <f ca="1">ROUND((IFERROR((Fuel_prices[[#This Row],[Crude_Oil_Price]]-OFFSET(Fuel_prices[[#This Row],[Crude_Oil_Price]],-1,0))/(OFFSET(Fuel_prices[[#This Row],[Crude_Oil_Price]],-1,0)),0))*100,2)</f>
        <v>-0.81</v>
      </c>
      <c r="I231" s="2" t="str" cm="1">
        <f t="array" aca="1" ref="I231" ca="1">_xlfn.IFS(
    ABS(Fuel_prices[[#This Row],[%_change]])&gt;50,"SEVERE IMPACT",
    ABS(Fuel_prices[[#This Row],[%_change]])&gt;25,"HIGH IMPACT",
    ABS(Fuel_prices[[#This Row],[%_change]])&gt;5,"MID IMPACT",
    ABS(Fuel_prices[[#This Row],[%_change]])&lt;=5,"LITTLE IMPACT"
)</f>
        <v>LITTLE IMPACT</v>
      </c>
    </row>
    <row r="232" spans="1:9" x14ac:dyDescent="0.25">
      <c r="A232" s="4">
        <v>32568</v>
      </c>
      <c r="B232" s="6" t="str">
        <f>_xlfn.CONCAT("Q",CEILING(Fuel_prices[[#This Row],[Month]]/3,1))</f>
        <v>Q1</v>
      </c>
      <c r="C232" s="6">
        <f>MONTH(Fuel_prices[[#This Row],[Date]])</f>
        <v>3</v>
      </c>
      <c r="D232" s="6" t="str">
        <f>TEXT(Fuel_prices[[#This Row],[Date]],"mmm")</f>
        <v>Mar</v>
      </c>
      <c r="E232" s="6">
        <f>YEAR(Fuel_prices[[#This Row],[Date]])</f>
        <v>1989</v>
      </c>
      <c r="F232" s="5">
        <v>18.033333333329999</v>
      </c>
      <c r="G232" s="2">
        <f ca="1">ROUND(IFERROR((Fuel_prices[[#This Row],[Crude_Oil_Price]]-OFFSET(Fuel_prices[[#This Row],[Crude_Oil_Price]],-1,0)),0),2)</f>
        <v>1.68</v>
      </c>
      <c r="H232" s="2">
        <f ca="1">ROUND((IFERROR((Fuel_prices[[#This Row],[Crude_Oil_Price]]-OFFSET(Fuel_prices[[#This Row],[Crude_Oil_Price]],-1,0))/(OFFSET(Fuel_prices[[#This Row],[Crude_Oil_Price]],-1,0)),0))*100,2)</f>
        <v>10.3</v>
      </c>
      <c r="I232" s="2" t="str" cm="1">
        <f t="array" aca="1" ref="I232" ca="1">_xlfn.IFS(
    ABS(Fuel_prices[[#This Row],[%_change]])&gt;50,"SEVERE IMPACT",
    ABS(Fuel_prices[[#This Row],[%_change]])&gt;25,"HIGH IMPACT",
    ABS(Fuel_prices[[#This Row],[%_change]])&gt;5,"MID IMPACT",
    ABS(Fuel_prices[[#This Row],[%_change]])&lt;=5,"LITTLE IMPACT"
)</f>
        <v>MID IMPACT</v>
      </c>
    </row>
    <row r="233" spans="1:9" x14ac:dyDescent="0.25">
      <c r="A233" s="4">
        <v>32599</v>
      </c>
      <c r="B233" s="6" t="str">
        <f>_xlfn.CONCAT("Q",CEILING(Fuel_prices[[#This Row],[Month]]/3,1))</f>
        <v>Q2</v>
      </c>
      <c r="C233" s="6">
        <f>MONTH(Fuel_prices[[#This Row],[Date]])</f>
        <v>4</v>
      </c>
      <c r="D233" s="6" t="str">
        <f>TEXT(Fuel_prices[[#This Row],[Date]],"mmm")</f>
        <v>Apr</v>
      </c>
      <c r="E233" s="6">
        <f>YEAR(Fuel_prices[[#This Row],[Date]])</f>
        <v>1989</v>
      </c>
      <c r="F233" s="5">
        <v>19.2</v>
      </c>
      <c r="G233" s="2">
        <f ca="1">ROUND(IFERROR((Fuel_prices[[#This Row],[Crude_Oil_Price]]-OFFSET(Fuel_prices[[#This Row],[Crude_Oil_Price]],-1,0)),0),2)</f>
        <v>1.17</v>
      </c>
      <c r="H233" s="2">
        <f ca="1">ROUND((IFERROR((Fuel_prices[[#This Row],[Crude_Oil_Price]]-OFFSET(Fuel_prices[[#This Row],[Crude_Oil_Price]],-1,0))/(OFFSET(Fuel_prices[[#This Row],[Crude_Oil_Price]],-1,0)),0))*100,2)</f>
        <v>6.47</v>
      </c>
      <c r="I233" s="2" t="str" cm="1">
        <f t="array" aca="1" ref="I233" ca="1">_xlfn.IFS(
    ABS(Fuel_prices[[#This Row],[%_change]])&gt;50,"SEVERE IMPACT",
    ABS(Fuel_prices[[#This Row],[%_change]])&gt;25,"HIGH IMPACT",
    ABS(Fuel_prices[[#This Row],[%_change]])&gt;5,"MID IMPACT",
    ABS(Fuel_prices[[#This Row],[%_change]])&lt;=5,"LITTLE IMPACT"
)</f>
        <v>MID IMPACT</v>
      </c>
    </row>
    <row r="234" spans="1:9" x14ac:dyDescent="0.25">
      <c r="A234" s="4">
        <v>32629</v>
      </c>
      <c r="B234" s="6" t="str">
        <f>_xlfn.CONCAT("Q",CEILING(Fuel_prices[[#This Row],[Month]]/3,1))</f>
        <v>Q2</v>
      </c>
      <c r="C234" s="6">
        <f>MONTH(Fuel_prices[[#This Row],[Date]])</f>
        <v>5</v>
      </c>
      <c r="D234" s="6" t="str">
        <f>TEXT(Fuel_prices[[#This Row],[Date]],"mmm")</f>
        <v>May</v>
      </c>
      <c r="E234" s="6">
        <f>YEAR(Fuel_prices[[#This Row],[Date]])</f>
        <v>1989</v>
      </c>
      <c r="F234" s="5">
        <v>18.016666666670002</v>
      </c>
      <c r="G234" s="2">
        <f ca="1">ROUND(IFERROR((Fuel_prices[[#This Row],[Crude_Oil_Price]]-OFFSET(Fuel_prices[[#This Row],[Crude_Oil_Price]],-1,0)),0),2)</f>
        <v>-1.18</v>
      </c>
      <c r="H234" s="2">
        <f ca="1">ROUND((IFERROR((Fuel_prices[[#This Row],[Crude_Oil_Price]]-OFFSET(Fuel_prices[[#This Row],[Crude_Oil_Price]],-1,0))/(OFFSET(Fuel_prices[[#This Row],[Crude_Oil_Price]],-1,0)),0))*100,2)</f>
        <v>-6.16</v>
      </c>
      <c r="I234" s="2" t="str" cm="1">
        <f t="array" aca="1" ref="I234" ca="1">_xlfn.IFS(
    ABS(Fuel_prices[[#This Row],[%_change]])&gt;50,"SEVERE IMPACT",
    ABS(Fuel_prices[[#This Row],[%_change]])&gt;25,"HIGH IMPACT",
    ABS(Fuel_prices[[#This Row],[%_change]])&gt;5,"MID IMPACT",
    ABS(Fuel_prices[[#This Row],[%_change]])&lt;=5,"LITTLE IMPACT"
)</f>
        <v>MID IMPACT</v>
      </c>
    </row>
    <row r="235" spans="1:9" x14ac:dyDescent="0.25">
      <c r="A235" s="4">
        <v>32660</v>
      </c>
      <c r="B235" s="6" t="str">
        <f>_xlfn.CONCAT("Q",CEILING(Fuel_prices[[#This Row],[Month]]/3,1))</f>
        <v>Q2</v>
      </c>
      <c r="C235" s="6">
        <f>MONTH(Fuel_prices[[#This Row],[Date]])</f>
        <v>6</v>
      </c>
      <c r="D235" s="6" t="str">
        <f>TEXT(Fuel_prices[[#This Row],[Date]],"mmm")</f>
        <v>Jun</v>
      </c>
      <c r="E235" s="6">
        <f>YEAR(Fuel_prices[[#This Row],[Date]])</f>
        <v>1989</v>
      </c>
      <c r="F235" s="5">
        <v>17.63333333333</v>
      </c>
      <c r="G235" s="2">
        <f ca="1">ROUND(IFERROR((Fuel_prices[[#This Row],[Crude_Oil_Price]]-OFFSET(Fuel_prices[[#This Row],[Crude_Oil_Price]],-1,0)),0),2)</f>
        <v>-0.38</v>
      </c>
      <c r="H235" s="2">
        <f ca="1">ROUND((IFERROR((Fuel_prices[[#This Row],[Crude_Oil_Price]]-OFFSET(Fuel_prices[[#This Row],[Crude_Oil_Price]],-1,0))/(OFFSET(Fuel_prices[[#This Row],[Crude_Oil_Price]],-1,0)),0))*100,2)</f>
        <v>-2.13</v>
      </c>
      <c r="I235" s="2" t="str" cm="1">
        <f t="array" aca="1" ref="I235" ca="1">_xlfn.IFS(
    ABS(Fuel_prices[[#This Row],[%_change]])&gt;50,"SEVERE IMPACT",
    ABS(Fuel_prices[[#This Row],[%_change]])&gt;25,"HIGH IMPACT",
    ABS(Fuel_prices[[#This Row],[%_change]])&gt;5,"MID IMPACT",
    ABS(Fuel_prices[[#This Row],[%_change]])&lt;=5,"LITTLE IMPACT"
)</f>
        <v>LITTLE IMPACT</v>
      </c>
    </row>
    <row r="236" spans="1:9" x14ac:dyDescent="0.25">
      <c r="A236" s="4">
        <v>32690</v>
      </c>
      <c r="B236" s="6" t="str">
        <f>_xlfn.CONCAT("Q",CEILING(Fuel_prices[[#This Row],[Month]]/3,1))</f>
        <v>Q3</v>
      </c>
      <c r="C236" s="6">
        <f>MONTH(Fuel_prices[[#This Row],[Date]])</f>
        <v>7</v>
      </c>
      <c r="D236" s="6" t="str">
        <f>TEXT(Fuel_prices[[#This Row],[Date]],"mmm")</f>
        <v>Jul</v>
      </c>
      <c r="E236" s="6">
        <f>YEAR(Fuel_prices[[#This Row],[Date]])</f>
        <v>1989</v>
      </c>
      <c r="F236" s="5">
        <v>17.66666666667</v>
      </c>
      <c r="G236" s="2">
        <f ca="1">ROUND(IFERROR((Fuel_prices[[#This Row],[Crude_Oil_Price]]-OFFSET(Fuel_prices[[#This Row],[Crude_Oil_Price]],-1,0)),0),2)</f>
        <v>0.03</v>
      </c>
      <c r="H236" s="2">
        <f ca="1">ROUND((IFERROR((Fuel_prices[[#This Row],[Crude_Oil_Price]]-OFFSET(Fuel_prices[[#This Row],[Crude_Oil_Price]],-1,0))/(OFFSET(Fuel_prices[[#This Row],[Crude_Oil_Price]],-1,0)),0))*100,2)</f>
        <v>0.19</v>
      </c>
      <c r="I236" s="2" t="str" cm="1">
        <f t="array" aca="1" ref="I236" ca="1">_xlfn.IFS(
    ABS(Fuel_prices[[#This Row],[%_change]])&gt;50,"SEVERE IMPACT",
    ABS(Fuel_prices[[#This Row],[%_change]])&gt;25,"HIGH IMPACT",
    ABS(Fuel_prices[[#This Row],[%_change]])&gt;5,"MID IMPACT",
    ABS(Fuel_prices[[#This Row],[%_change]])&lt;=5,"LITTLE IMPACT"
)</f>
        <v>LITTLE IMPACT</v>
      </c>
    </row>
    <row r="237" spans="1:9" x14ac:dyDescent="0.25">
      <c r="A237" s="4">
        <v>32721</v>
      </c>
      <c r="B237" s="6" t="str">
        <f>_xlfn.CONCAT("Q",CEILING(Fuel_prices[[#This Row],[Month]]/3,1))</f>
        <v>Q3</v>
      </c>
      <c r="C237" s="6">
        <f>MONTH(Fuel_prices[[#This Row],[Date]])</f>
        <v>8</v>
      </c>
      <c r="D237" s="6" t="str">
        <f>TEXT(Fuel_prices[[#This Row],[Date]],"mmm")</f>
        <v>Aug</v>
      </c>
      <c r="E237" s="6">
        <f>YEAR(Fuel_prices[[#This Row],[Date]])</f>
        <v>1989</v>
      </c>
      <c r="F237" s="5">
        <v>16.88333333333</v>
      </c>
      <c r="G237" s="2">
        <f ca="1">ROUND(IFERROR((Fuel_prices[[#This Row],[Crude_Oil_Price]]-OFFSET(Fuel_prices[[#This Row],[Crude_Oil_Price]],-1,0)),0),2)</f>
        <v>-0.78</v>
      </c>
      <c r="H237" s="2">
        <f ca="1">ROUND((IFERROR((Fuel_prices[[#This Row],[Crude_Oil_Price]]-OFFSET(Fuel_prices[[#This Row],[Crude_Oil_Price]],-1,0))/(OFFSET(Fuel_prices[[#This Row],[Crude_Oil_Price]],-1,0)),0))*100,2)</f>
        <v>-4.43</v>
      </c>
      <c r="I237" s="2" t="str" cm="1">
        <f t="array" aca="1" ref="I237" ca="1">_xlfn.IFS(
    ABS(Fuel_prices[[#This Row],[%_change]])&gt;50,"SEVERE IMPACT",
    ABS(Fuel_prices[[#This Row],[%_change]])&gt;25,"HIGH IMPACT",
    ABS(Fuel_prices[[#This Row],[%_change]])&gt;5,"MID IMPACT",
    ABS(Fuel_prices[[#This Row],[%_change]])&lt;=5,"LITTLE IMPACT"
)</f>
        <v>LITTLE IMPACT</v>
      </c>
    </row>
    <row r="238" spans="1:9" x14ac:dyDescent="0.25">
      <c r="A238" s="4">
        <v>32752</v>
      </c>
      <c r="B238" s="6" t="str">
        <f>_xlfn.CONCAT("Q",CEILING(Fuel_prices[[#This Row],[Month]]/3,1))</f>
        <v>Q3</v>
      </c>
      <c r="C238" s="6">
        <f>MONTH(Fuel_prices[[#This Row],[Date]])</f>
        <v>9</v>
      </c>
      <c r="D238" s="6" t="str">
        <f>TEXT(Fuel_prices[[#This Row],[Date]],"mmm")</f>
        <v>Sep</v>
      </c>
      <c r="E238" s="6">
        <f>YEAR(Fuel_prices[[#This Row],[Date]])</f>
        <v>1989</v>
      </c>
      <c r="F238" s="5">
        <v>17.66666666667</v>
      </c>
      <c r="G238" s="2">
        <f ca="1">ROUND(IFERROR((Fuel_prices[[#This Row],[Crude_Oil_Price]]-OFFSET(Fuel_prices[[#This Row],[Crude_Oil_Price]],-1,0)),0),2)</f>
        <v>0.78</v>
      </c>
      <c r="H238" s="2">
        <f ca="1">ROUND((IFERROR((Fuel_prices[[#This Row],[Crude_Oil_Price]]-OFFSET(Fuel_prices[[#This Row],[Crude_Oil_Price]],-1,0))/(OFFSET(Fuel_prices[[#This Row],[Crude_Oil_Price]],-1,0)),0))*100,2)</f>
        <v>4.6399999999999997</v>
      </c>
      <c r="I238" s="2" t="str" cm="1">
        <f t="array" aca="1" ref="I238" ca="1">_xlfn.IFS(
    ABS(Fuel_prices[[#This Row],[%_change]])&gt;50,"SEVERE IMPACT",
    ABS(Fuel_prices[[#This Row],[%_change]])&gt;25,"HIGH IMPACT",
    ABS(Fuel_prices[[#This Row],[%_change]])&gt;5,"MID IMPACT",
    ABS(Fuel_prices[[#This Row],[%_change]])&lt;=5,"LITTLE IMPACT"
)</f>
        <v>LITTLE IMPACT</v>
      </c>
    </row>
    <row r="239" spans="1:9" x14ac:dyDescent="0.25">
      <c r="A239" s="4">
        <v>32782</v>
      </c>
      <c r="B239" s="6" t="str">
        <f>_xlfn.CONCAT("Q",CEILING(Fuel_prices[[#This Row],[Month]]/3,1))</f>
        <v>Q4</v>
      </c>
      <c r="C239" s="6">
        <f>MONTH(Fuel_prices[[#This Row],[Date]])</f>
        <v>10</v>
      </c>
      <c r="D239" s="6" t="str">
        <f>TEXT(Fuel_prices[[#This Row],[Date]],"mmm")</f>
        <v>Oct</v>
      </c>
      <c r="E239" s="6">
        <f>YEAR(Fuel_prices[[#This Row],[Date]])</f>
        <v>1989</v>
      </c>
      <c r="F239" s="5">
        <v>18.41666666667</v>
      </c>
      <c r="G239" s="2">
        <f ca="1">ROUND(IFERROR((Fuel_prices[[#This Row],[Crude_Oil_Price]]-OFFSET(Fuel_prices[[#This Row],[Crude_Oil_Price]],-1,0)),0),2)</f>
        <v>0.75</v>
      </c>
      <c r="H239" s="2">
        <f ca="1">ROUND((IFERROR((Fuel_prices[[#This Row],[Crude_Oil_Price]]-OFFSET(Fuel_prices[[#This Row],[Crude_Oil_Price]],-1,0))/(OFFSET(Fuel_prices[[#This Row],[Crude_Oil_Price]],-1,0)),0))*100,2)</f>
        <v>4.25</v>
      </c>
      <c r="I239" s="2" t="str" cm="1">
        <f t="array" aca="1" ref="I239" ca="1">_xlfn.IFS(
    ABS(Fuel_prices[[#This Row],[%_change]])&gt;50,"SEVERE IMPACT",
    ABS(Fuel_prices[[#This Row],[%_change]])&gt;25,"HIGH IMPACT",
    ABS(Fuel_prices[[#This Row],[%_change]])&gt;5,"MID IMPACT",
    ABS(Fuel_prices[[#This Row],[%_change]])&lt;=5,"LITTLE IMPACT"
)</f>
        <v>LITTLE IMPACT</v>
      </c>
    </row>
    <row r="240" spans="1:9" x14ac:dyDescent="0.25">
      <c r="A240" s="4">
        <v>32813</v>
      </c>
      <c r="B240" s="6" t="str">
        <f>_xlfn.CONCAT("Q",CEILING(Fuel_prices[[#This Row],[Month]]/3,1))</f>
        <v>Q4</v>
      </c>
      <c r="C240" s="6">
        <f>MONTH(Fuel_prices[[#This Row],[Date]])</f>
        <v>11</v>
      </c>
      <c r="D240" s="6" t="str">
        <f>TEXT(Fuel_prices[[#This Row],[Date]],"mmm")</f>
        <v>Nov</v>
      </c>
      <c r="E240" s="6">
        <f>YEAR(Fuel_prices[[#This Row],[Date]])</f>
        <v>1989</v>
      </c>
      <c r="F240" s="5">
        <v>18.36666666667</v>
      </c>
      <c r="G240" s="2">
        <f ca="1">ROUND(IFERROR((Fuel_prices[[#This Row],[Crude_Oil_Price]]-OFFSET(Fuel_prices[[#This Row],[Crude_Oil_Price]],-1,0)),0),2)</f>
        <v>-0.05</v>
      </c>
      <c r="H240" s="2">
        <f ca="1">ROUND((IFERROR((Fuel_prices[[#This Row],[Crude_Oil_Price]]-OFFSET(Fuel_prices[[#This Row],[Crude_Oil_Price]],-1,0))/(OFFSET(Fuel_prices[[#This Row],[Crude_Oil_Price]],-1,0)),0))*100,2)</f>
        <v>-0.27</v>
      </c>
      <c r="I240" s="2" t="str" cm="1">
        <f t="array" aca="1" ref="I240" ca="1">_xlfn.IFS(
    ABS(Fuel_prices[[#This Row],[%_change]])&gt;50,"SEVERE IMPACT",
    ABS(Fuel_prices[[#This Row],[%_change]])&gt;25,"HIGH IMPACT",
    ABS(Fuel_prices[[#This Row],[%_change]])&gt;5,"MID IMPACT",
    ABS(Fuel_prices[[#This Row],[%_change]])&lt;=5,"LITTLE IMPACT"
)</f>
        <v>LITTLE IMPACT</v>
      </c>
    </row>
    <row r="241" spans="1:9" x14ac:dyDescent="0.25">
      <c r="A241" s="4">
        <v>32843</v>
      </c>
      <c r="B241" s="6" t="str">
        <f>_xlfn.CONCAT("Q",CEILING(Fuel_prices[[#This Row],[Month]]/3,1))</f>
        <v>Q4</v>
      </c>
      <c r="C241" s="6">
        <f>MONTH(Fuel_prices[[#This Row],[Date]])</f>
        <v>12</v>
      </c>
      <c r="D241" s="6" t="str">
        <f>TEXT(Fuel_prices[[#This Row],[Date]],"mmm")</f>
        <v>Dec</v>
      </c>
      <c r="E241" s="6">
        <f>YEAR(Fuel_prices[[#This Row],[Date]])</f>
        <v>1989</v>
      </c>
      <c r="F241" s="5">
        <v>19.350000000000001</v>
      </c>
      <c r="G241" s="2">
        <f ca="1">ROUND(IFERROR((Fuel_prices[[#This Row],[Crude_Oil_Price]]-OFFSET(Fuel_prices[[#This Row],[Crude_Oil_Price]],-1,0)),0),2)</f>
        <v>0.98</v>
      </c>
      <c r="H241" s="2">
        <f ca="1">ROUND((IFERROR((Fuel_prices[[#This Row],[Crude_Oil_Price]]-OFFSET(Fuel_prices[[#This Row],[Crude_Oil_Price]],-1,0))/(OFFSET(Fuel_prices[[#This Row],[Crude_Oil_Price]],-1,0)),0))*100,2)</f>
        <v>5.35</v>
      </c>
      <c r="I241" s="2" t="str" cm="1">
        <f t="array" aca="1" ref="I241" ca="1">_xlfn.IFS(
    ABS(Fuel_prices[[#This Row],[%_change]])&gt;50,"SEVERE IMPACT",
    ABS(Fuel_prices[[#This Row],[%_change]])&gt;25,"HIGH IMPACT",
    ABS(Fuel_prices[[#This Row],[%_change]])&gt;5,"MID IMPACT",
    ABS(Fuel_prices[[#This Row],[%_change]])&lt;=5,"LITTLE IMPACT"
)</f>
        <v>MID IMPACT</v>
      </c>
    </row>
    <row r="242" spans="1:9" x14ac:dyDescent="0.25">
      <c r="A242" s="4">
        <v>32874</v>
      </c>
      <c r="B242" s="6" t="str">
        <f>_xlfn.CONCAT("Q",CEILING(Fuel_prices[[#This Row],[Month]]/3,1))</f>
        <v>Q1</v>
      </c>
      <c r="C242" s="6">
        <f>MONTH(Fuel_prices[[#This Row],[Date]])</f>
        <v>1</v>
      </c>
      <c r="D242" s="6" t="str">
        <f>TEXT(Fuel_prices[[#This Row],[Date]],"mmm")</f>
        <v>Jan</v>
      </c>
      <c r="E242" s="6">
        <f>YEAR(Fuel_prices[[#This Row],[Date]])</f>
        <v>1990</v>
      </c>
      <c r="F242" s="5">
        <v>20.350000000000001</v>
      </c>
      <c r="G242" s="2">
        <f ca="1">ROUND(IFERROR((Fuel_prices[[#This Row],[Crude_Oil_Price]]-OFFSET(Fuel_prices[[#This Row],[Crude_Oil_Price]],-1,0)),0),2)</f>
        <v>1</v>
      </c>
      <c r="H242" s="2">
        <f ca="1">ROUND((IFERROR((Fuel_prices[[#This Row],[Crude_Oil_Price]]-OFFSET(Fuel_prices[[#This Row],[Crude_Oil_Price]],-1,0))/(OFFSET(Fuel_prices[[#This Row],[Crude_Oil_Price]],-1,0)),0))*100,2)</f>
        <v>5.17</v>
      </c>
      <c r="I242" s="2" t="str" cm="1">
        <f t="array" aca="1" ref="I242" ca="1">_xlfn.IFS(
    ABS(Fuel_prices[[#This Row],[%_change]])&gt;50,"SEVERE IMPACT",
    ABS(Fuel_prices[[#This Row],[%_change]])&gt;25,"HIGH IMPACT",
    ABS(Fuel_prices[[#This Row],[%_change]])&gt;5,"MID IMPACT",
    ABS(Fuel_prices[[#This Row],[%_change]])&lt;=5,"LITTLE IMPACT"
)</f>
        <v>MID IMPACT</v>
      </c>
    </row>
    <row r="243" spans="1:9" x14ac:dyDescent="0.25">
      <c r="A243" s="4">
        <v>32905</v>
      </c>
      <c r="B243" s="6" t="str">
        <f>_xlfn.CONCAT("Q",CEILING(Fuel_prices[[#This Row],[Month]]/3,1))</f>
        <v>Q1</v>
      </c>
      <c r="C243" s="6">
        <f>MONTH(Fuel_prices[[#This Row],[Date]])</f>
        <v>2</v>
      </c>
      <c r="D243" s="6" t="str">
        <f>TEXT(Fuel_prices[[#This Row],[Date]],"mmm")</f>
        <v>Feb</v>
      </c>
      <c r="E243" s="6">
        <f>YEAR(Fuel_prices[[#This Row],[Date]])</f>
        <v>1990</v>
      </c>
      <c r="F243" s="5">
        <v>19.600000000000001</v>
      </c>
      <c r="G243" s="2">
        <f ca="1">ROUND(IFERROR((Fuel_prices[[#This Row],[Crude_Oil_Price]]-OFFSET(Fuel_prices[[#This Row],[Crude_Oil_Price]],-1,0)),0),2)</f>
        <v>-0.75</v>
      </c>
      <c r="H243" s="2">
        <f ca="1">ROUND((IFERROR((Fuel_prices[[#This Row],[Crude_Oil_Price]]-OFFSET(Fuel_prices[[#This Row],[Crude_Oil_Price]],-1,0))/(OFFSET(Fuel_prices[[#This Row],[Crude_Oil_Price]],-1,0)),0))*100,2)</f>
        <v>-3.69</v>
      </c>
      <c r="I243" s="2" t="str" cm="1">
        <f t="array" aca="1" ref="I243" ca="1">_xlfn.IFS(
    ABS(Fuel_prices[[#This Row],[%_change]])&gt;50,"SEVERE IMPACT",
    ABS(Fuel_prices[[#This Row],[%_change]])&gt;25,"HIGH IMPACT",
    ABS(Fuel_prices[[#This Row],[%_change]])&gt;5,"MID IMPACT",
    ABS(Fuel_prices[[#This Row],[%_change]])&lt;=5,"LITTLE IMPACT"
)</f>
        <v>LITTLE IMPACT</v>
      </c>
    </row>
    <row r="244" spans="1:9" x14ac:dyDescent="0.25">
      <c r="A244" s="4">
        <v>32933</v>
      </c>
      <c r="B244" s="6" t="str">
        <f>_xlfn.CONCAT("Q",CEILING(Fuel_prices[[#This Row],[Month]]/3,1))</f>
        <v>Q1</v>
      </c>
      <c r="C244" s="6">
        <f>MONTH(Fuel_prices[[#This Row],[Date]])</f>
        <v>3</v>
      </c>
      <c r="D244" s="6" t="str">
        <f>TEXT(Fuel_prices[[#This Row],[Date]],"mmm")</f>
        <v>Mar</v>
      </c>
      <c r="E244" s="6">
        <f>YEAR(Fuel_prices[[#This Row],[Date]])</f>
        <v>1990</v>
      </c>
      <c r="F244" s="5">
        <v>18.216666666670001</v>
      </c>
      <c r="G244" s="2">
        <f ca="1">ROUND(IFERROR((Fuel_prices[[#This Row],[Crude_Oil_Price]]-OFFSET(Fuel_prices[[#This Row],[Crude_Oil_Price]],-1,0)),0),2)</f>
        <v>-1.38</v>
      </c>
      <c r="H244" s="2">
        <f ca="1">ROUND((IFERROR((Fuel_prices[[#This Row],[Crude_Oil_Price]]-OFFSET(Fuel_prices[[#This Row],[Crude_Oil_Price]],-1,0))/(OFFSET(Fuel_prices[[#This Row],[Crude_Oil_Price]],-1,0)),0))*100,2)</f>
        <v>-7.06</v>
      </c>
      <c r="I244" s="2" t="str" cm="1">
        <f t="array" aca="1" ref="I244" ca="1">_xlfn.IFS(
    ABS(Fuel_prices[[#This Row],[%_change]])&gt;50,"SEVERE IMPACT",
    ABS(Fuel_prices[[#This Row],[%_change]])&gt;25,"HIGH IMPACT",
    ABS(Fuel_prices[[#This Row],[%_change]])&gt;5,"MID IMPACT",
    ABS(Fuel_prices[[#This Row],[%_change]])&lt;=5,"LITTLE IMPACT"
)</f>
        <v>MID IMPACT</v>
      </c>
    </row>
    <row r="245" spans="1:9" x14ac:dyDescent="0.25">
      <c r="A245" s="4">
        <v>32964</v>
      </c>
      <c r="B245" s="6" t="str">
        <f>_xlfn.CONCAT("Q",CEILING(Fuel_prices[[#This Row],[Month]]/3,1))</f>
        <v>Q2</v>
      </c>
      <c r="C245" s="6">
        <f>MONTH(Fuel_prices[[#This Row],[Date]])</f>
        <v>4</v>
      </c>
      <c r="D245" s="6" t="str">
        <f>TEXT(Fuel_prices[[#This Row],[Date]],"mmm")</f>
        <v>Apr</v>
      </c>
      <c r="E245" s="6">
        <f>YEAR(Fuel_prices[[#This Row],[Date]])</f>
        <v>1990</v>
      </c>
      <c r="F245" s="5">
        <v>16.55</v>
      </c>
      <c r="G245" s="2">
        <f ca="1">ROUND(IFERROR((Fuel_prices[[#This Row],[Crude_Oil_Price]]-OFFSET(Fuel_prices[[#This Row],[Crude_Oil_Price]],-1,0)),0),2)</f>
        <v>-1.67</v>
      </c>
      <c r="H245" s="2">
        <f ca="1">ROUND((IFERROR((Fuel_prices[[#This Row],[Crude_Oil_Price]]-OFFSET(Fuel_prices[[#This Row],[Crude_Oil_Price]],-1,0))/(OFFSET(Fuel_prices[[#This Row],[Crude_Oil_Price]],-1,0)),0))*100,2)</f>
        <v>-9.15</v>
      </c>
      <c r="I245" s="2" t="str" cm="1">
        <f t="array" aca="1" ref="I245" ca="1">_xlfn.IFS(
    ABS(Fuel_prices[[#This Row],[%_change]])&gt;50,"SEVERE IMPACT",
    ABS(Fuel_prices[[#This Row],[%_change]])&gt;25,"HIGH IMPACT",
    ABS(Fuel_prices[[#This Row],[%_change]])&gt;5,"MID IMPACT",
    ABS(Fuel_prices[[#This Row],[%_change]])&lt;=5,"LITTLE IMPACT"
)</f>
        <v>MID IMPACT</v>
      </c>
    </row>
    <row r="246" spans="1:9" x14ac:dyDescent="0.25">
      <c r="A246" s="4">
        <v>32994</v>
      </c>
      <c r="B246" s="6" t="str">
        <f>_xlfn.CONCAT("Q",CEILING(Fuel_prices[[#This Row],[Month]]/3,1))</f>
        <v>Q2</v>
      </c>
      <c r="C246" s="6">
        <f>MONTH(Fuel_prices[[#This Row],[Date]])</f>
        <v>5</v>
      </c>
      <c r="D246" s="6" t="str">
        <f>TEXT(Fuel_prices[[#This Row],[Date]],"mmm")</f>
        <v>May</v>
      </c>
      <c r="E246" s="6">
        <f>YEAR(Fuel_prices[[#This Row],[Date]])</f>
        <v>1990</v>
      </c>
      <c r="F246" s="5">
        <v>16.58333333333</v>
      </c>
      <c r="G246" s="2">
        <f ca="1">ROUND(IFERROR((Fuel_prices[[#This Row],[Crude_Oil_Price]]-OFFSET(Fuel_prices[[#This Row],[Crude_Oil_Price]],-1,0)),0),2)</f>
        <v>0.03</v>
      </c>
      <c r="H246" s="2">
        <f ca="1">ROUND((IFERROR((Fuel_prices[[#This Row],[Crude_Oil_Price]]-OFFSET(Fuel_prices[[#This Row],[Crude_Oil_Price]],-1,0))/(OFFSET(Fuel_prices[[#This Row],[Crude_Oil_Price]],-1,0)),0))*100,2)</f>
        <v>0.2</v>
      </c>
      <c r="I246" s="2" t="str" cm="1">
        <f t="array" aca="1" ref="I246" ca="1">_xlfn.IFS(
    ABS(Fuel_prices[[#This Row],[%_change]])&gt;50,"SEVERE IMPACT",
    ABS(Fuel_prices[[#This Row],[%_change]])&gt;25,"HIGH IMPACT",
    ABS(Fuel_prices[[#This Row],[%_change]])&gt;5,"MID IMPACT",
    ABS(Fuel_prices[[#This Row],[%_change]])&lt;=5,"LITTLE IMPACT"
)</f>
        <v>LITTLE IMPACT</v>
      </c>
    </row>
    <row r="247" spans="1:9" x14ac:dyDescent="0.25">
      <c r="A247" s="4">
        <v>33025</v>
      </c>
      <c r="B247" s="6" t="str">
        <f>_xlfn.CONCAT("Q",CEILING(Fuel_prices[[#This Row],[Month]]/3,1))</f>
        <v>Q2</v>
      </c>
      <c r="C247" s="6">
        <f>MONTH(Fuel_prices[[#This Row],[Date]])</f>
        <v>6</v>
      </c>
      <c r="D247" s="6" t="str">
        <f>TEXT(Fuel_prices[[#This Row],[Date]],"mmm")</f>
        <v>Jun</v>
      </c>
      <c r="E247" s="6">
        <f>YEAR(Fuel_prices[[#This Row],[Date]])</f>
        <v>1990</v>
      </c>
      <c r="F247" s="5">
        <v>15.26666666667</v>
      </c>
      <c r="G247" s="2">
        <f ca="1">ROUND(IFERROR((Fuel_prices[[#This Row],[Crude_Oil_Price]]-OFFSET(Fuel_prices[[#This Row],[Crude_Oil_Price]],-1,0)),0),2)</f>
        <v>-1.32</v>
      </c>
      <c r="H247" s="2">
        <f ca="1">ROUND((IFERROR((Fuel_prices[[#This Row],[Crude_Oil_Price]]-OFFSET(Fuel_prices[[#This Row],[Crude_Oil_Price]],-1,0))/(OFFSET(Fuel_prices[[#This Row],[Crude_Oil_Price]],-1,0)),0))*100,2)</f>
        <v>-7.94</v>
      </c>
      <c r="I247" s="2" t="str" cm="1">
        <f t="array" aca="1" ref="I247" ca="1">_xlfn.IFS(
    ABS(Fuel_prices[[#This Row],[%_change]])&gt;50,"SEVERE IMPACT",
    ABS(Fuel_prices[[#This Row],[%_change]])&gt;25,"HIGH IMPACT",
    ABS(Fuel_prices[[#This Row],[%_change]])&gt;5,"MID IMPACT",
    ABS(Fuel_prices[[#This Row],[%_change]])&lt;=5,"LITTLE IMPACT"
)</f>
        <v>MID IMPACT</v>
      </c>
    </row>
    <row r="248" spans="1:9" x14ac:dyDescent="0.25">
      <c r="A248" s="4">
        <v>33055</v>
      </c>
      <c r="B248" s="6" t="str">
        <f>_xlfn.CONCAT("Q",CEILING(Fuel_prices[[#This Row],[Month]]/3,1))</f>
        <v>Q3</v>
      </c>
      <c r="C248" s="6">
        <f>MONTH(Fuel_prices[[#This Row],[Date]])</f>
        <v>7</v>
      </c>
      <c r="D248" s="6" t="str">
        <f>TEXT(Fuel_prices[[#This Row],[Date]],"mmm")</f>
        <v>Jul</v>
      </c>
      <c r="E248" s="6">
        <f>YEAR(Fuel_prices[[#This Row],[Date]])</f>
        <v>1990</v>
      </c>
      <c r="F248" s="5">
        <v>17.16666666667</v>
      </c>
      <c r="G248" s="2">
        <f ca="1">ROUND(IFERROR((Fuel_prices[[#This Row],[Crude_Oil_Price]]-OFFSET(Fuel_prices[[#This Row],[Crude_Oil_Price]],-1,0)),0),2)</f>
        <v>1.9</v>
      </c>
      <c r="H248" s="2">
        <f ca="1">ROUND((IFERROR((Fuel_prices[[#This Row],[Crude_Oil_Price]]-OFFSET(Fuel_prices[[#This Row],[Crude_Oil_Price]],-1,0))/(OFFSET(Fuel_prices[[#This Row],[Crude_Oil_Price]],-1,0)),0))*100,2)</f>
        <v>12.45</v>
      </c>
      <c r="I248" s="2" t="str" cm="1">
        <f t="array" aca="1" ref="I248" ca="1">_xlfn.IFS(
    ABS(Fuel_prices[[#This Row],[%_change]])&gt;50,"SEVERE IMPACT",
    ABS(Fuel_prices[[#This Row],[%_change]])&gt;25,"HIGH IMPACT",
    ABS(Fuel_prices[[#This Row],[%_change]])&gt;5,"MID IMPACT",
    ABS(Fuel_prices[[#This Row],[%_change]])&lt;=5,"LITTLE IMPACT"
)</f>
        <v>MID IMPACT</v>
      </c>
    </row>
    <row r="249" spans="1:9" x14ac:dyDescent="0.25">
      <c r="A249" s="4">
        <v>33086</v>
      </c>
      <c r="B249" s="6" t="str">
        <f>_xlfn.CONCAT("Q",CEILING(Fuel_prices[[#This Row],[Month]]/3,1))</f>
        <v>Q3</v>
      </c>
      <c r="C249" s="6">
        <f>MONTH(Fuel_prices[[#This Row],[Date]])</f>
        <v>8</v>
      </c>
      <c r="D249" s="6" t="str">
        <f>TEXT(Fuel_prices[[#This Row],[Date]],"mmm")</f>
        <v>Aug</v>
      </c>
      <c r="E249" s="6">
        <f>YEAR(Fuel_prices[[#This Row],[Date]])</f>
        <v>1990</v>
      </c>
      <c r="F249" s="5">
        <v>26.4</v>
      </c>
      <c r="G249" s="2">
        <f ca="1">ROUND(IFERROR((Fuel_prices[[#This Row],[Crude_Oil_Price]]-OFFSET(Fuel_prices[[#This Row],[Crude_Oil_Price]],-1,0)),0),2)</f>
        <v>9.23</v>
      </c>
      <c r="H249" s="2">
        <f ca="1">ROUND((IFERROR((Fuel_prices[[#This Row],[Crude_Oil_Price]]-OFFSET(Fuel_prices[[#This Row],[Crude_Oil_Price]],-1,0))/(OFFSET(Fuel_prices[[#This Row],[Crude_Oil_Price]],-1,0)),0))*100,2)</f>
        <v>53.79</v>
      </c>
      <c r="I249" s="2" t="str" cm="1">
        <f t="array" aca="1" ref="I249" ca="1">_xlfn.IFS(
    ABS(Fuel_prices[[#This Row],[%_change]])&gt;50,"SEVERE IMPACT",
    ABS(Fuel_prices[[#This Row],[%_change]])&gt;25,"HIGH IMPACT",
    ABS(Fuel_prices[[#This Row],[%_change]])&gt;5,"MID IMPACT",
    ABS(Fuel_prices[[#This Row],[%_change]])&lt;=5,"LITTLE IMPACT"
)</f>
        <v>SEVERE IMPACT</v>
      </c>
    </row>
    <row r="250" spans="1:9" x14ac:dyDescent="0.25">
      <c r="A250" s="4">
        <v>33117</v>
      </c>
      <c r="B250" s="6" t="str">
        <f>_xlfn.CONCAT("Q",CEILING(Fuel_prices[[#This Row],[Month]]/3,1))</f>
        <v>Q3</v>
      </c>
      <c r="C250" s="6">
        <f>MONTH(Fuel_prices[[#This Row],[Date]])</f>
        <v>9</v>
      </c>
      <c r="D250" s="6" t="str">
        <f>TEXT(Fuel_prices[[#This Row],[Date]],"mmm")</f>
        <v>Sep</v>
      </c>
      <c r="E250" s="6">
        <f>YEAR(Fuel_prices[[#This Row],[Date]])</f>
        <v>1990</v>
      </c>
      <c r="F250" s="5">
        <v>32.700000000000003</v>
      </c>
      <c r="G250" s="2">
        <f ca="1">ROUND(IFERROR((Fuel_prices[[#This Row],[Crude_Oil_Price]]-OFFSET(Fuel_prices[[#This Row],[Crude_Oil_Price]],-1,0)),0),2)</f>
        <v>6.3</v>
      </c>
      <c r="H250" s="2">
        <f ca="1">ROUND((IFERROR((Fuel_prices[[#This Row],[Crude_Oil_Price]]-OFFSET(Fuel_prices[[#This Row],[Crude_Oil_Price]],-1,0))/(OFFSET(Fuel_prices[[#This Row],[Crude_Oil_Price]],-1,0)),0))*100,2)</f>
        <v>23.86</v>
      </c>
      <c r="I250" s="2" t="str" cm="1">
        <f t="array" aca="1" ref="I250" ca="1">_xlfn.IFS(
    ABS(Fuel_prices[[#This Row],[%_change]])&gt;50,"SEVERE IMPACT",
    ABS(Fuel_prices[[#This Row],[%_change]])&gt;25,"HIGH IMPACT",
    ABS(Fuel_prices[[#This Row],[%_change]])&gt;5,"MID IMPACT",
    ABS(Fuel_prices[[#This Row],[%_change]])&lt;=5,"LITTLE IMPACT"
)</f>
        <v>MID IMPACT</v>
      </c>
    </row>
    <row r="251" spans="1:9" x14ac:dyDescent="0.25">
      <c r="A251" s="4">
        <v>33147</v>
      </c>
      <c r="B251" s="6" t="str">
        <f>_xlfn.CONCAT("Q",CEILING(Fuel_prices[[#This Row],[Month]]/3,1))</f>
        <v>Q4</v>
      </c>
      <c r="C251" s="6">
        <f>MONTH(Fuel_prices[[#This Row],[Date]])</f>
        <v>10</v>
      </c>
      <c r="D251" s="6" t="str">
        <f>TEXT(Fuel_prices[[#This Row],[Date]],"mmm")</f>
        <v>Oct</v>
      </c>
      <c r="E251" s="6">
        <f>YEAR(Fuel_prices[[#This Row],[Date]])</f>
        <v>1990</v>
      </c>
      <c r="F251" s="5">
        <v>34.5</v>
      </c>
      <c r="G251" s="2">
        <f ca="1">ROUND(IFERROR((Fuel_prices[[#This Row],[Crude_Oil_Price]]-OFFSET(Fuel_prices[[#This Row],[Crude_Oil_Price]],-1,0)),0),2)</f>
        <v>1.8</v>
      </c>
      <c r="H251" s="2">
        <f ca="1">ROUND((IFERROR((Fuel_prices[[#This Row],[Crude_Oil_Price]]-OFFSET(Fuel_prices[[#This Row],[Crude_Oil_Price]],-1,0))/(OFFSET(Fuel_prices[[#This Row],[Crude_Oil_Price]],-1,0)),0))*100,2)</f>
        <v>5.5</v>
      </c>
      <c r="I251" s="2" t="str" cm="1">
        <f t="array" aca="1" ref="I251" ca="1">_xlfn.IFS(
    ABS(Fuel_prices[[#This Row],[%_change]])&gt;50,"SEVERE IMPACT",
    ABS(Fuel_prices[[#This Row],[%_change]])&gt;25,"HIGH IMPACT",
    ABS(Fuel_prices[[#This Row],[%_change]])&gt;5,"MID IMPACT",
    ABS(Fuel_prices[[#This Row],[%_change]])&lt;=5,"LITTLE IMPACT"
)</f>
        <v>MID IMPACT</v>
      </c>
    </row>
    <row r="252" spans="1:9" x14ac:dyDescent="0.25">
      <c r="A252" s="4">
        <v>33178</v>
      </c>
      <c r="B252" s="6" t="str">
        <f>_xlfn.CONCAT("Q",CEILING(Fuel_prices[[#This Row],[Month]]/3,1))</f>
        <v>Q4</v>
      </c>
      <c r="C252" s="6">
        <f>MONTH(Fuel_prices[[#This Row],[Date]])</f>
        <v>11</v>
      </c>
      <c r="D252" s="6" t="str">
        <f>TEXT(Fuel_prices[[#This Row],[Date]],"mmm")</f>
        <v>Nov</v>
      </c>
      <c r="E252" s="6">
        <f>YEAR(Fuel_prices[[#This Row],[Date]])</f>
        <v>1990</v>
      </c>
      <c r="F252" s="5">
        <v>31.08333333333</v>
      </c>
      <c r="G252" s="2">
        <f ca="1">ROUND(IFERROR((Fuel_prices[[#This Row],[Crude_Oil_Price]]-OFFSET(Fuel_prices[[#This Row],[Crude_Oil_Price]],-1,0)),0),2)</f>
        <v>-3.42</v>
      </c>
      <c r="H252" s="2">
        <f ca="1">ROUND((IFERROR((Fuel_prices[[#This Row],[Crude_Oil_Price]]-OFFSET(Fuel_prices[[#This Row],[Crude_Oil_Price]],-1,0))/(OFFSET(Fuel_prices[[#This Row],[Crude_Oil_Price]],-1,0)),0))*100,2)</f>
        <v>-9.9</v>
      </c>
      <c r="I252" s="2" t="str" cm="1">
        <f t="array" aca="1" ref="I252" ca="1">_xlfn.IFS(
    ABS(Fuel_prices[[#This Row],[%_change]])&gt;50,"SEVERE IMPACT",
    ABS(Fuel_prices[[#This Row],[%_change]])&gt;25,"HIGH IMPACT",
    ABS(Fuel_prices[[#This Row],[%_change]])&gt;5,"MID IMPACT",
    ABS(Fuel_prices[[#This Row],[%_change]])&lt;=5,"LITTLE IMPACT"
)</f>
        <v>MID IMPACT</v>
      </c>
    </row>
    <row r="253" spans="1:9" x14ac:dyDescent="0.25">
      <c r="A253" s="4">
        <v>33208</v>
      </c>
      <c r="B253" s="6" t="str">
        <f>_xlfn.CONCAT("Q",CEILING(Fuel_prices[[#This Row],[Month]]/3,1))</f>
        <v>Q4</v>
      </c>
      <c r="C253" s="6">
        <f>MONTH(Fuel_prices[[#This Row],[Date]])</f>
        <v>12</v>
      </c>
      <c r="D253" s="6" t="str">
        <f>TEXT(Fuel_prices[[#This Row],[Date]],"mmm")</f>
        <v>Dec</v>
      </c>
      <c r="E253" s="6">
        <f>YEAR(Fuel_prices[[#This Row],[Date]])</f>
        <v>1990</v>
      </c>
      <c r="F253" s="5">
        <v>26.13333333333</v>
      </c>
      <c r="G253" s="2">
        <f ca="1">ROUND(IFERROR((Fuel_prices[[#This Row],[Crude_Oil_Price]]-OFFSET(Fuel_prices[[#This Row],[Crude_Oil_Price]],-1,0)),0),2)</f>
        <v>-4.95</v>
      </c>
      <c r="H253" s="2">
        <f ca="1">ROUND((IFERROR((Fuel_prices[[#This Row],[Crude_Oil_Price]]-OFFSET(Fuel_prices[[#This Row],[Crude_Oil_Price]],-1,0))/(OFFSET(Fuel_prices[[#This Row],[Crude_Oil_Price]],-1,0)),0))*100,2)</f>
        <v>-15.92</v>
      </c>
      <c r="I253" s="2" t="str" cm="1">
        <f t="array" aca="1" ref="I253" ca="1">_xlfn.IFS(
    ABS(Fuel_prices[[#This Row],[%_change]])&gt;50,"SEVERE IMPACT",
    ABS(Fuel_prices[[#This Row],[%_change]])&gt;25,"HIGH IMPACT",
    ABS(Fuel_prices[[#This Row],[%_change]])&gt;5,"MID IMPACT",
    ABS(Fuel_prices[[#This Row],[%_change]])&lt;=5,"LITTLE IMPACT"
)</f>
        <v>MID IMPACT</v>
      </c>
    </row>
    <row r="254" spans="1:9" x14ac:dyDescent="0.25">
      <c r="A254" s="4">
        <v>33239</v>
      </c>
      <c r="B254" s="6" t="str">
        <f>_xlfn.CONCAT("Q",CEILING(Fuel_prices[[#This Row],[Month]]/3,1))</f>
        <v>Q1</v>
      </c>
      <c r="C254" s="6">
        <f>MONTH(Fuel_prices[[#This Row],[Date]])</f>
        <v>1</v>
      </c>
      <c r="D254" s="6" t="str">
        <f>TEXT(Fuel_prices[[#This Row],[Date]],"mmm")</f>
        <v>Jan</v>
      </c>
      <c r="E254" s="6">
        <f>YEAR(Fuel_prices[[#This Row],[Date]])</f>
        <v>1991</v>
      </c>
      <c r="F254" s="5">
        <v>22.58333333333</v>
      </c>
      <c r="G254" s="2">
        <f ca="1">ROUND(IFERROR((Fuel_prices[[#This Row],[Crude_Oil_Price]]-OFFSET(Fuel_prices[[#This Row],[Crude_Oil_Price]],-1,0)),0),2)</f>
        <v>-3.55</v>
      </c>
      <c r="H254" s="2">
        <f ca="1">ROUND((IFERROR((Fuel_prices[[#This Row],[Crude_Oil_Price]]-OFFSET(Fuel_prices[[#This Row],[Crude_Oil_Price]],-1,0))/(OFFSET(Fuel_prices[[#This Row],[Crude_Oil_Price]],-1,0)),0))*100,2)</f>
        <v>-13.58</v>
      </c>
      <c r="I254" s="2" t="str" cm="1">
        <f t="array" aca="1" ref="I254" ca="1">_xlfn.IFS(
    ABS(Fuel_prices[[#This Row],[%_change]])&gt;50,"SEVERE IMPACT",
    ABS(Fuel_prices[[#This Row],[%_change]])&gt;25,"HIGH IMPACT",
    ABS(Fuel_prices[[#This Row],[%_change]])&gt;5,"MID IMPACT",
    ABS(Fuel_prices[[#This Row],[%_change]])&lt;=5,"LITTLE IMPACT"
)</f>
        <v>MID IMPACT</v>
      </c>
    </row>
    <row r="255" spans="1:9" x14ac:dyDescent="0.25">
      <c r="A255" s="4">
        <v>33270</v>
      </c>
      <c r="B255" s="6" t="str">
        <f>_xlfn.CONCAT("Q",CEILING(Fuel_prices[[#This Row],[Month]]/3,1))</f>
        <v>Q1</v>
      </c>
      <c r="C255" s="6">
        <f>MONTH(Fuel_prices[[#This Row],[Date]])</f>
        <v>2</v>
      </c>
      <c r="D255" s="6" t="str">
        <f>TEXT(Fuel_prices[[#This Row],[Date]],"mmm")</f>
        <v>Feb</v>
      </c>
      <c r="E255" s="6">
        <f>YEAR(Fuel_prices[[#This Row],[Date]])</f>
        <v>1991</v>
      </c>
      <c r="F255" s="5">
        <v>18.13333333333</v>
      </c>
      <c r="G255" s="2">
        <f ca="1">ROUND(IFERROR((Fuel_prices[[#This Row],[Crude_Oil_Price]]-OFFSET(Fuel_prices[[#This Row],[Crude_Oil_Price]],-1,0)),0),2)</f>
        <v>-4.45</v>
      </c>
      <c r="H255" s="2">
        <f ca="1">ROUND((IFERROR((Fuel_prices[[#This Row],[Crude_Oil_Price]]-OFFSET(Fuel_prices[[#This Row],[Crude_Oil_Price]],-1,0))/(OFFSET(Fuel_prices[[#This Row],[Crude_Oil_Price]],-1,0)),0))*100,2)</f>
        <v>-19.7</v>
      </c>
      <c r="I255" s="2" t="str" cm="1">
        <f t="array" aca="1" ref="I255" ca="1">_xlfn.IFS(
    ABS(Fuel_prices[[#This Row],[%_change]])&gt;50,"SEVERE IMPACT",
    ABS(Fuel_prices[[#This Row],[%_change]])&gt;25,"HIGH IMPACT",
    ABS(Fuel_prices[[#This Row],[%_change]])&gt;5,"MID IMPACT",
    ABS(Fuel_prices[[#This Row],[%_change]])&lt;=5,"LITTLE IMPACT"
)</f>
        <v>MID IMPACT</v>
      </c>
    </row>
    <row r="256" spans="1:9" x14ac:dyDescent="0.25">
      <c r="A256" s="4">
        <v>33298</v>
      </c>
      <c r="B256" s="6" t="str">
        <f>_xlfn.CONCAT("Q",CEILING(Fuel_prices[[#This Row],[Month]]/3,1))</f>
        <v>Q1</v>
      </c>
      <c r="C256" s="6">
        <f>MONTH(Fuel_prices[[#This Row],[Date]])</f>
        <v>3</v>
      </c>
      <c r="D256" s="6" t="str">
        <f>TEXT(Fuel_prices[[#This Row],[Date]],"mmm")</f>
        <v>Mar</v>
      </c>
      <c r="E256" s="6">
        <f>YEAR(Fuel_prices[[#This Row],[Date]])</f>
        <v>1991</v>
      </c>
      <c r="F256" s="5">
        <v>18.066666666669999</v>
      </c>
      <c r="G256" s="2">
        <f ca="1">ROUND(IFERROR((Fuel_prices[[#This Row],[Crude_Oil_Price]]-OFFSET(Fuel_prices[[#This Row],[Crude_Oil_Price]],-1,0)),0),2)</f>
        <v>-7.0000000000000007E-2</v>
      </c>
      <c r="H256" s="2">
        <f ca="1">ROUND((IFERROR((Fuel_prices[[#This Row],[Crude_Oil_Price]]-OFFSET(Fuel_prices[[#This Row],[Crude_Oil_Price]],-1,0))/(OFFSET(Fuel_prices[[#This Row],[Crude_Oil_Price]],-1,0)),0))*100,2)</f>
        <v>-0.37</v>
      </c>
      <c r="I256" s="2" t="str" cm="1">
        <f t="array" aca="1" ref="I256" ca="1">_xlfn.IFS(
    ABS(Fuel_prices[[#This Row],[%_change]])&gt;50,"SEVERE IMPACT",
    ABS(Fuel_prices[[#This Row],[%_change]])&gt;25,"HIGH IMPACT",
    ABS(Fuel_prices[[#This Row],[%_change]])&gt;5,"MID IMPACT",
    ABS(Fuel_prices[[#This Row],[%_change]])&lt;=5,"LITTLE IMPACT"
)</f>
        <v>LITTLE IMPACT</v>
      </c>
    </row>
    <row r="257" spans="1:9" x14ac:dyDescent="0.25">
      <c r="A257" s="4">
        <v>33329</v>
      </c>
      <c r="B257" s="6" t="str">
        <f>_xlfn.CONCAT("Q",CEILING(Fuel_prices[[#This Row],[Month]]/3,1))</f>
        <v>Q2</v>
      </c>
      <c r="C257" s="6">
        <f>MONTH(Fuel_prices[[#This Row],[Date]])</f>
        <v>4</v>
      </c>
      <c r="D257" s="6" t="str">
        <f>TEXT(Fuel_prices[[#This Row],[Date]],"mmm")</f>
        <v>Apr</v>
      </c>
      <c r="E257" s="6">
        <f>YEAR(Fuel_prices[[#This Row],[Date]])</f>
        <v>1991</v>
      </c>
      <c r="F257" s="5">
        <v>18.466666666670001</v>
      </c>
      <c r="G257" s="2">
        <f ca="1">ROUND(IFERROR((Fuel_prices[[#This Row],[Crude_Oil_Price]]-OFFSET(Fuel_prices[[#This Row],[Crude_Oil_Price]],-1,0)),0),2)</f>
        <v>0.4</v>
      </c>
      <c r="H257" s="2">
        <f ca="1">ROUND((IFERROR((Fuel_prices[[#This Row],[Crude_Oil_Price]]-OFFSET(Fuel_prices[[#This Row],[Crude_Oil_Price]],-1,0))/(OFFSET(Fuel_prices[[#This Row],[Crude_Oil_Price]],-1,0)),0))*100,2)</f>
        <v>2.21</v>
      </c>
      <c r="I257" s="2" t="str" cm="1">
        <f t="array" aca="1" ref="I257" ca="1">_xlfn.IFS(
    ABS(Fuel_prices[[#This Row],[%_change]])&gt;50,"SEVERE IMPACT",
    ABS(Fuel_prices[[#This Row],[%_change]])&gt;25,"HIGH IMPACT",
    ABS(Fuel_prices[[#This Row],[%_change]])&gt;5,"MID IMPACT",
    ABS(Fuel_prices[[#This Row],[%_change]])&lt;=5,"LITTLE IMPACT"
)</f>
        <v>LITTLE IMPACT</v>
      </c>
    </row>
    <row r="258" spans="1:9" x14ac:dyDescent="0.25">
      <c r="A258" s="4">
        <v>33359</v>
      </c>
      <c r="B258" s="6" t="str">
        <f>_xlfn.CONCAT("Q",CEILING(Fuel_prices[[#This Row],[Month]]/3,1))</f>
        <v>Q2</v>
      </c>
      <c r="C258" s="6">
        <f>MONTH(Fuel_prices[[#This Row],[Date]])</f>
        <v>5</v>
      </c>
      <c r="D258" s="6" t="str">
        <f>TEXT(Fuel_prices[[#This Row],[Date]],"mmm")</f>
        <v>May</v>
      </c>
      <c r="E258" s="6">
        <f>YEAR(Fuel_prices[[#This Row],[Date]])</f>
        <v>1991</v>
      </c>
      <c r="F258" s="5">
        <v>18.816666666669999</v>
      </c>
      <c r="G258" s="2">
        <f ca="1">ROUND(IFERROR((Fuel_prices[[#This Row],[Crude_Oil_Price]]-OFFSET(Fuel_prices[[#This Row],[Crude_Oil_Price]],-1,0)),0),2)</f>
        <v>0.35</v>
      </c>
      <c r="H258" s="2">
        <f ca="1">ROUND((IFERROR((Fuel_prices[[#This Row],[Crude_Oil_Price]]-OFFSET(Fuel_prices[[#This Row],[Crude_Oil_Price]],-1,0))/(OFFSET(Fuel_prices[[#This Row],[Crude_Oil_Price]],-1,0)),0))*100,2)</f>
        <v>1.9</v>
      </c>
      <c r="I258" s="2" t="str" cm="1">
        <f t="array" aca="1" ref="I258" ca="1">_xlfn.IFS(
    ABS(Fuel_prices[[#This Row],[%_change]])&gt;50,"SEVERE IMPACT",
    ABS(Fuel_prices[[#This Row],[%_change]])&gt;25,"HIGH IMPACT",
    ABS(Fuel_prices[[#This Row],[%_change]])&gt;5,"MID IMPACT",
    ABS(Fuel_prices[[#This Row],[%_change]])&lt;=5,"LITTLE IMPACT"
)</f>
        <v>LITTLE IMPACT</v>
      </c>
    </row>
    <row r="259" spans="1:9" x14ac:dyDescent="0.25">
      <c r="A259" s="4">
        <v>33390</v>
      </c>
      <c r="B259" s="6" t="str">
        <f>_xlfn.CONCAT("Q",CEILING(Fuel_prices[[#This Row],[Month]]/3,1))</f>
        <v>Q2</v>
      </c>
      <c r="C259" s="6">
        <f>MONTH(Fuel_prices[[#This Row],[Date]])</f>
        <v>6</v>
      </c>
      <c r="D259" s="6" t="str">
        <f>TEXT(Fuel_prices[[#This Row],[Date]],"mmm")</f>
        <v>Jun</v>
      </c>
      <c r="E259" s="6">
        <f>YEAR(Fuel_prices[[#This Row],[Date]])</f>
        <v>1991</v>
      </c>
      <c r="F259" s="5">
        <v>17.933333333330001</v>
      </c>
      <c r="G259" s="2">
        <f ca="1">ROUND(IFERROR((Fuel_prices[[#This Row],[Crude_Oil_Price]]-OFFSET(Fuel_prices[[#This Row],[Crude_Oil_Price]],-1,0)),0),2)</f>
        <v>-0.88</v>
      </c>
      <c r="H259" s="2">
        <f ca="1">ROUND((IFERROR((Fuel_prices[[#This Row],[Crude_Oil_Price]]-OFFSET(Fuel_prices[[#This Row],[Crude_Oil_Price]],-1,0))/(OFFSET(Fuel_prices[[#This Row],[Crude_Oil_Price]],-1,0)),0))*100,2)</f>
        <v>-4.6900000000000004</v>
      </c>
      <c r="I259" s="2" t="str" cm="1">
        <f t="array" aca="1" ref="I259" ca="1">_xlfn.IFS(
    ABS(Fuel_prices[[#This Row],[%_change]])&gt;50,"SEVERE IMPACT",
    ABS(Fuel_prices[[#This Row],[%_change]])&gt;25,"HIGH IMPACT",
    ABS(Fuel_prices[[#This Row],[%_change]])&gt;5,"MID IMPACT",
    ABS(Fuel_prices[[#This Row],[%_change]])&lt;=5,"LITTLE IMPACT"
)</f>
        <v>LITTLE IMPACT</v>
      </c>
    </row>
    <row r="260" spans="1:9" x14ac:dyDescent="0.25">
      <c r="A260" s="4">
        <v>33420</v>
      </c>
      <c r="B260" s="6" t="str">
        <f>_xlfn.CONCAT("Q",CEILING(Fuel_prices[[#This Row],[Month]]/3,1))</f>
        <v>Q3</v>
      </c>
      <c r="C260" s="6">
        <f>MONTH(Fuel_prices[[#This Row],[Date]])</f>
        <v>7</v>
      </c>
      <c r="D260" s="6" t="str">
        <f>TEXT(Fuel_prices[[#This Row],[Date]],"mmm")</f>
        <v>Jul</v>
      </c>
      <c r="E260" s="6">
        <f>YEAR(Fuel_prices[[#This Row],[Date]])</f>
        <v>1991</v>
      </c>
      <c r="F260" s="5">
        <v>19.05</v>
      </c>
      <c r="G260" s="2">
        <f ca="1">ROUND(IFERROR((Fuel_prices[[#This Row],[Crude_Oil_Price]]-OFFSET(Fuel_prices[[#This Row],[Crude_Oil_Price]],-1,0)),0),2)</f>
        <v>1.1200000000000001</v>
      </c>
      <c r="H260" s="2">
        <f ca="1">ROUND((IFERROR((Fuel_prices[[#This Row],[Crude_Oil_Price]]-OFFSET(Fuel_prices[[#This Row],[Crude_Oil_Price]],-1,0))/(OFFSET(Fuel_prices[[#This Row],[Crude_Oil_Price]],-1,0)),0))*100,2)</f>
        <v>6.23</v>
      </c>
      <c r="I260" s="2" t="str" cm="1">
        <f t="array" aca="1" ref="I260" ca="1">_xlfn.IFS(
    ABS(Fuel_prices[[#This Row],[%_change]])&gt;50,"SEVERE IMPACT",
    ABS(Fuel_prices[[#This Row],[%_change]])&gt;25,"HIGH IMPACT",
    ABS(Fuel_prices[[#This Row],[%_change]])&gt;5,"MID IMPACT",
    ABS(Fuel_prices[[#This Row],[%_change]])&lt;=5,"LITTLE IMPACT"
)</f>
        <v>MID IMPACT</v>
      </c>
    </row>
    <row r="261" spans="1:9" x14ac:dyDescent="0.25">
      <c r="A261" s="4">
        <v>33451</v>
      </c>
      <c r="B261" s="6" t="str">
        <f>_xlfn.CONCAT("Q",CEILING(Fuel_prices[[#This Row],[Month]]/3,1))</f>
        <v>Q3</v>
      </c>
      <c r="C261" s="6">
        <f>MONTH(Fuel_prices[[#This Row],[Date]])</f>
        <v>8</v>
      </c>
      <c r="D261" s="6" t="str">
        <f>TEXT(Fuel_prices[[#This Row],[Date]],"mmm")</f>
        <v>Aug</v>
      </c>
      <c r="E261" s="6">
        <f>YEAR(Fuel_prices[[#This Row],[Date]])</f>
        <v>1991</v>
      </c>
      <c r="F261" s="5">
        <v>19.36666666667</v>
      </c>
      <c r="G261" s="2">
        <f ca="1">ROUND(IFERROR((Fuel_prices[[#This Row],[Crude_Oil_Price]]-OFFSET(Fuel_prices[[#This Row],[Crude_Oil_Price]],-1,0)),0),2)</f>
        <v>0.32</v>
      </c>
      <c r="H261" s="2">
        <f ca="1">ROUND((IFERROR((Fuel_prices[[#This Row],[Crude_Oil_Price]]-OFFSET(Fuel_prices[[#This Row],[Crude_Oil_Price]],-1,0))/(OFFSET(Fuel_prices[[#This Row],[Crude_Oil_Price]],-1,0)),0))*100,2)</f>
        <v>1.66</v>
      </c>
      <c r="I261" s="2" t="str" cm="1">
        <f t="array" aca="1" ref="I261" ca="1">_xlfn.IFS(
    ABS(Fuel_prices[[#This Row],[%_change]])&gt;50,"SEVERE IMPACT",
    ABS(Fuel_prices[[#This Row],[%_change]])&gt;25,"HIGH IMPACT",
    ABS(Fuel_prices[[#This Row],[%_change]])&gt;5,"MID IMPACT",
    ABS(Fuel_prices[[#This Row],[%_change]])&lt;=5,"LITTLE IMPACT"
)</f>
        <v>LITTLE IMPACT</v>
      </c>
    </row>
    <row r="262" spans="1:9" x14ac:dyDescent="0.25">
      <c r="A262" s="4">
        <v>33482</v>
      </c>
      <c r="B262" s="6" t="str">
        <f>_xlfn.CONCAT("Q",CEILING(Fuel_prices[[#This Row],[Month]]/3,1))</f>
        <v>Q3</v>
      </c>
      <c r="C262" s="6">
        <f>MONTH(Fuel_prices[[#This Row],[Date]])</f>
        <v>9</v>
      </c>
      <c r="D262" s="6" t="str">
        <f>TEXT(Fuel_prices[[#This Row],[Date]],"mmm")</f>
        <v>Sep</v>
      </c>
      <c r="E262" s="6">
        <f>YEAR(Fuel_prices[[#This Row],[Date]])</f>
        <v>1991</v>
      </c>
      <c r="F262" s="5">
        <v>20.05</v>
      </c>
      <c r="G262" s="2">
        <f ca="1">ROUND(IFERROR((Fuel_prices[[#This Row],[Crude_Oil_Price]]-OFFSET(Fuel_prices[[#This Row],[Crude_Oil_Price]],-1,0)),0),2)</f>
        <v>0.68</v>
      </c>
      <c r="H262" s="2">
        <f ca="1">ROUND((IFERROR((Fuel_prices[[#This Row],[Crude_Oil_Price]]-OFFSET(Fuel_prices[[#This Row],[Crude_Oil_Price]],-1,0))/(OFFSET(Fuel_prices[[#This Row],[Crude_Oil_Price]],-1,0)),0))*100,2)</f>
        <v>3.53</v>
      </c>
      <c r="I262" s="2" t="str" cm="1">
        <f t="array" aca="1" ref="I262" ca="1">_xlfn.IFS(
    ABS(Fuel_prices[[#This Row],[%_change]])&gt;50,"SEVERE IMPACT",
    ABS(Fuel_prices[[#This Row],[%_change]])&gt;25,"HIGH IMPACT",
    ABS(Fuel_prices[[#This Row],[%_change]])&gt;5,"MID IMPACT",
    ABS(Fuel_prices[[#This Row],[%_change]])&lt;=5,"LITTLE IMPACT"
)</f>
        <v>LITTLE IMPACT</v>
      </c>
    </row>
    <row r="263" spans="1:9" x14ac:dyDescent="0.25">
      <c r="A263" s="4">
        <v>33512</v>
      </c>
      <c r="B263" s="6" t="str">
        <f>_xlfn.CONCAT("Q",CEILING(Fuel_prices[[#This Row],[Month]]/3,1))</f>
        <v>Q4</v>
      </c>
      <c r="C263" s="6">
        <f>MONTH(Fuel_prices[[#This Row],[Date]])</f>
        <v>10</v>
      </c>
      <c r="D263" s="6" t="str">
        <f>TEXT(Fuel_prices[[#This Row],[Date]],"mmm")</f>
        <v>Oct</v>
      </c>
      <c r="E263" s="6">
        <f>YEAR(Fuel_prices[[#This Row],[Date]])</f>
        <v>1991</v>
      </c>
      <c r="F263" s="5">
        <v>21.466666666670001</v>
      </c>
      <c r="G263" s="2">
        <f ca="1">ROUND(IFERROR((Fuel_prices[[#This Row],[Crude_Oil_Price]]-OFFSET(Fuel_prices[[#This Row],[Crude_Oil_Price]],-1,0)),0),2)</f>
        <v>1.42</v>
      </c>
      <c r="H263" s="2">
        <f ca="1">ROUND((IFERROR((Fuel_prices[[#This Row],[Crude_Oil_Price]]-OFFSET(Fuel_prices[[#This Row],[Crude_Oil_Price]],-1,0))/(OFFSET(Fuel_prices[[#This Row],[Crude_Oil_Price]],-1,0)),0))*100,2)</f>
        <v>7.07</v>
      </c>
      <c r="I263" s="2" t="str" cm="1">
        <f t="array" aca="1" ref="I263" ca="1">_xlfn.IFS(
    ABS(Fuel_prices[[#This Row],[%_change]])&gt;50,"SEVERE IMPACT",
    ABS(Fuel_prices[[#This Row],[%_change]])&gt;25,"HIGH IMPACT",
    ABS(Fuel_prices[[#This Row],[%_change]])&gt;5,"MID IMPACT",
    ABS(Fuel_prices[[#This Row],[%_change]])&lt;=5,"LITTLE IMPACT"
)</f>
        <v>MID IMPACT</v>
      </c>
    </row>
    <row r="264" spans="1:9" x14ac:dyDescent="0.25">
      <c r="A264" s="4">
        <v>33543</v>
      </c>
      <c r="B264" s="6" t="str">
        <f>_xlfn.CONCAT("Q",CEILING(Fuel_prices[[#This Row],[Month]]/3,1))</f>
        <v>Q4</v>
      </c>
      <c r="C264" s="6">
        <f>MONTH(Fuel_prices[[#This Row],[Date]])</f>
        <v>11</v>
      </c>
      <c r="D264" s="6" t="str">
        <f>TEXT(Fuel_prices[[#This Row],[Date]],"mmm")</f>
        <v>Nov</v>
      </c>
      <c r="E264" s="6">
        <f>YEAR(Fuel_prices[[#This Row],[Date]])</f>
        <v>1991</v>
      </c>
      <c r="F264" s="5">
        <v>20.766666666670002</v>
      </c>
      <c r="G264" s="2">
        <f ca="1">ROUND(IFERROR((Fuel_prices[[#This Row],[Crude_Oil_Price]]-OFFSET(Fuel_prices[[#This Row],[Crude_Oil_Price]],-1,0)),0),2)</f>
        <v>-0.7</v>
      </c>
      <c r="H264" s="2">
        <f ca="1">ROUND((IFERROR((Fuel_prices[[#This Row],[Crude_Oil_Price]]-OFFSET(Fuel_prices[[#This Row],[Crude_Oil_Price]],-1,0))/(OFFSET(Fuel_prices[[#This Row],[Crude_Oil_Price]],-1,0)),0))*100,2)</f>
        <v>-3.26</v>
      </c>
      <c r="I264" s="2" t="str" cm="1">
        <f t="array" aca="1" ref="I264" ca="1">_xlfn.IFS(
    ABS(Fuel_prices[[#This Row],[%_change]])&gt;50,"SEVERE IMPACT",
    ABS(Fuel_prices[[#This Row],[%_change]])&gt;25,"HIGH IMPACT",
    ABS(Fuel_prices[[#This Row],[%_change]])&gt;5,"MID IMPACT",
    ABS(Fuel_prices[[#This Row],[%_change]])&lt;=5,"LITTLE IMPACT"
)</f>
        <v>LITTLE IMPACT</v>
      </c>
    </row>
    <row r="265" spans="1:9" x14ac:dyDescent="0.25">
      <c r="A265" s="4">
        <v>33573</v>
      </c>
      <c r="B265" s="6" t="str">
        <f>_xlfn.CONCAT("Q",CEILING(Fuel_prices[[#This Row],[Month]]/3,1))</f>
        <v>Q4</v>
      </c>
      <c r="C265" s="6">
        <f>MONTH(Fuel_prices[[#This Row],[Date]])</f>
        <v>12</v>
      </c>
      <c r="D265" s="6" t="str">
        <f>TEXT(Fuel_prices[[#This Row],[Date]],"mmm")</f>
        <v>Dec</v>
      </c>
      <c r="E265" s="6">
        <f>YEAR(Fuel_prices[[#This Row],[Date]])</f>
        <v>1991</v>
      </c>
      <c r="F265" s="5">
        <v>17.75</v>
      </c>
      <c r="G265" s="2">
        <f ca="1">ROUND(IFERROR((Fuel_prices[[#This Row],[Crude_Oil_Price]]-OFFSET(Fuel_prices[[#This Row],[Crude_Oil_Price]],-1,0)),0),2)</f>
        <v>-3.02</v>
      </c>
      <c r="H265" s="2">
        <f ca="1">ROUND((IFERROR((Fuel_prices[[#This Row],[Crude_Oil_Price]]-OFFSET(Fuel_prices[[#This Row],[Crude_Oil_Price]],-1,0))/(OFFSET(Fuel_prices[[#This Row],[Crude_Oil_Price]],-1,0)),0))*100,2)</f>
        <v>-14.53</v>
      </c>
      <c r="I265" s="2" t="str" cm="1">
        <f t="array" aca="1" ref="I265" ca="1">_xlfn.IFS(
    ABS(Fuel_prices[[#This Row],[%_change]])&gt;50,"SEVERE IMPACT",
    ABS(Fuel_prices[[#This Row],[%_change]])&gt;25,"HIGH IMPACT",
    ABS(Fuel_prices[[#This Row],[%_change]])&gt;5,"MID IMPACT",
    ABS(Fuel_prices[[#This Row],[%_change]])&lt;=5,"LITTLE IMPACT"
)</f>
        <v>MID IMPACT</v>
      </c>
    </row>
    <row r="266" spans="1:9" x14ac:dyDescent="0.25">
      <c r="A266" s="4">
        <v>33604</v>
      </c>
      <c r="B266" s="6" t="str">
        <f>_xlfn.CONCAT("Q",CEILING(Fuel_prices[[#This Row],[Month]]/3,1))</f>
        <v>Q1</v>
      </c>
      <c r="C266" s="6">
        <f>MONTH(Fuel_prices[[#This Row],[Date]])</f>
        <v>1</v>
      </c>
      <c r="D266" s="6" t="str">
        <f>TEXT(Fuel_prices[[#This Row],[Date]],"mmm")</f>
        <v>Jan</v>
      </c>
      <c r="E266" s="6">
        <f>YEAR(Fuel_prices[[#This Row],[Date]])</f>
        <v>1992</v>
      </c>
      <c r="F266" s="5">
        <v>17.38333333333</v>
      </c>
      <c r="G266" s="2">
        <f ca="1">ROUND(IFERROR((Fuel_prices[[#This Row],[Crude_Oil_Price]]-OFFSET(Fuel_prices[[#This Row],[Crude_Oil_Price]],-1,0)),0),2)</f>
        <v>-0.37</v>
      </c>
      <c r="H266" s="2">
        <f ca="1">ROUND((IFERROR((Fuel_prices[[#This Row],[Crude_Oil_Price]]-OFFSET(Fuel_prices[[#This Row],[Crude_Oil_Price]],-1,0))/(OFFSET(Fuel_prices[[#This Row],[Crude_Oil_Price]],-1,0)),0))*100,2)</f>
        <v>-2.0699999999999998</v>
      </c>
      <c r="I266" s="2" t="str" cm="1">
        <f t="array" aca="1" ref="I266" ca="1">_xlfn.IFS(
    ABS(Fuel_prices[[#This Row],[%_change]])&gt;50,"SEVERE IMPACT",
    ABS(Fuel_prices[[#This Row],[%_change]])&gt;25,"HIGH IMPACT",
    ABS(Fuel_prices[[#This Row],[%_change]])&gt;5,"MID IMPACT",
    ABS(Fuel_prices[[#This Row],[%_change]])&lt;=5,"LITTLE IMPACT"
)</f>
        <v>LITTLE IMPACT</v>
      </c>
    </row>
    <row r="267" spans="1:9" x14ac:dyDescent="0.25">
      <c r="A267" s="4">
        <v>33635</v>
      </c>
      <c r="B267" s="6" t="str">
        <f>_xlfn.CONCAT("Q",CEILING(Fuel_prices[[#This Row],[Month]]/3,1))</f>
        <v>Q1</v>
      </c>
      <c r="C267" s="6">
        <f>MONTH(Fuel_prices[[#This Row],[Date]])</f>
        <v>2</v>
      </c>
      <c r="D267" s="6" t="str">
        <f>TEXT(Fuel_prices[[#This Row],[Date]],"mmm")</f>
        <v>Feb</v>
      </c>
      <c r="E267" s="6">
        <f>YEAR(Fuel_prices[[#This Row],[Date]])</f>
        <v>1992</v>
      </c>
      <c r="F267" s="5">
        <v>17.61666666667</v>
      </c>
      <c r="G267" s="2">
        <f ca="1">ROUND(IFERROR((Fuel_prices[[#This Row],[Crude_Oil_Price]]-OFFSET(Fuel_prices[[#This Row],[Crude_Oil_Price]],-1,0)),0),2)</f>
        <v>0.23</v>
      </c>
      <c r="H267" s="2">
        <f ca="1">ROUND((IFERROR((Fuel_prices[[#This Row],[Crude_Oil_Price]]-OFFSET(Fuel_prices[[#This Row],[Crude_Oil_Price]],-1,0))/(OFFSET(Fuel_prices[[#This Row],[Crude_Oil_Price]],-1,0)),0))*100,2)</f>
        <v>1.34</v>
      </c>
      <c r="I267" s="2" t="str" cm="1">
        <f t="array" aca="1" ref="I267" ca="1">_xlfn.IFS(
    ABS(Fuel_prices[[#This Row],[%_change]])&gt;50,"SEVERE IMPACT",
    ABS(Fuel_prices[[#This Row],[%_change]])&gt;25,"HIGH IMPACT",
    ABS(Fuel_prices[[#This Row],[%_change]])&gt;5,"MID IMPACT",
    ABS(Fuel_prices[[#This Row],[%_change]])&lt;=5,"LITTLE IMPACT"
)</f>
        <v>LITTLE IMPACT</v>
      </c>
    </row>
    <row r="268" spans="1:9" x14ac:dyDescent="0.25">
      <c r="A268" s="4">
        <v>33664</v>
      </c>
      <c r="B268" s="6" t="str">
        <f>_xlfn.CONCAT("Q",CEILING(Fuel_prices[[#This Row],[Month]]/3,1))</f>
        <v>Q1</v>
      </c>
      <c r="C268" s="6">
        <f>MONTH(Fuel_prices[[#This Row],[Date]])</f>
        <v>3</v>
      </c>
      <c r="D268" s="6" t="str">
        <f>TEXT(Fuel_prices[[#This Row],[Date]],"mmm")</f>
        <v>Mar</v>
      </c>
      <c r="E268" s="6">
        <f>YEAR(Fuel_prices[[#This Row],[Date]])</f>
        <v>1992</v>
      </c>
      <c r="F268" s="5">
        <v>17.45</v>
      </c>
      <c r="G268" s="2">
        <f ca="1">ROUND(IFERROR((Fuel_prices[[#This Row],[Crude_Oil_Price]]-OFFSET(Fuel_prices[[#This Row],[Crude_Oil_Price]],-1,0)),0),2)</f>
        <v>-0.17</v>
      </c>
      <c r="H268" s="2">
        <f ca="1">ROUND((IFERROR((Fuel_prices[[#This Row],[Crude_Oil_Price]]-OFFSET(Fuel_prices[[#This Row],[Crude_Oil_Price]],-1,0))/(OFFSET(Fuel_prices[[#This Row],[Crude_Oil_Price]],-1,0)),0))*100,2)</f>
        <v>-0.95</v>
      </c>
      <c r="I268" s="2" t="str" cm="1">
        <f t="array" aca="1" ref="I268" ca="1">_xlfn.IFS(
    ABS(Fuel_prices[[#This Row],[%_change]])&gt;50,"SEVERE IMPACT",
    ABS(Fuel_prices[[#This Row],[%_change]])&gt;25,"HIGH IMPACT",
    ABS(Fuel_prices[[#This Row],[%_change]])&gt;5,"MID IMPACT",
    ABS(Fuel_prices[[#This Row],[%_change]])&lt;=5,"LITTLE IMPACT"
)</f>
        <v>LITTLE IMPACT</v>
      </c>
    </row>
    <row r="269" spans="1:9" x14ac:dyDescent="0.25">
      <c r="A269" s="4">
        <v>33695</v>
      </c>
      <c r="B269" s="6" t="str">
        <f>_xlfn.CONCAT("Q",CEILING(Fuel_prices[[#This Row],[Month]]/3,1))</f>
        <v>Q2</v>
      </c>
      <c r="C269" s="6">
        <f>MONTH(Fuel_prices[[#This Row],[Date]])</f>
        <v>4</v>
      </c>
      <c r="D269" s="6" t="str">
        <f>TEXT(Fuel_prices[[#This Row],[Date]],"mmm")</f>
        <v>Apr</v>
      </c>
      <c r="E269" s="6">
        <f>YEAR(Fuel_prices[[#This Row],[Date]])</f>
        <v>1992</v>
      </c>
      <c r="F269" s="5">
        <v>18.63333333333</v>
      </c>
      <c r="G269" s="2">
        <f ca="1">ROUND(IFERROR((Fuel_prices[[#This Row],[Crude_Oil_Price]]-OFFSET(Fuel_prices[[#This Row],[Crude_Oil_Price]],-1,0)),0),2)</f>
        <v>1.18</v>
      </c>
      <c r="H269" s="2">
        <f ca="1">ROUND((IFERROR((Fuel_prices[[#This Row],[Crude_Oil_Price]]-OFFSET(Fuel_prices[[#This Row],[Crude_Oil_Price]],-1,0))/(OFFSET(Fuel_prices[[#This Row],[Crude_Oil_Price]],-1,0)),0))*100,2)</f>
        <v>6.78</v>
      </c>
      <c r="I269" s="2" t="str" cm="1">
        <f t="array" aca="1" ref="I269" ca="1">_xlfn.IFS(
    ABS(Fuel_prices[[#This Row],[%_change]])&gt;50,"SEVERE IMPACT",
    ABS(Fuel_prices[[#This Row],[%_change]])&gt;25,"HIGH IMPACT",
    ABS(Fuel_prices[[#This Row],[%_change]])&gt;5,"MID IMPACT",
    ABS(Fuel_prices[[#This Row],[%_change]])&lt;=5,"LITTLE IMPACT"
)</f>
        <v>MID IMPACT</v>
      </c>
    </row>
    <row r="270" spans="1:9" x14ac:dyDescent="0.25">
      <c r="A270" s="4">
        <v>33725</v>
      </c>
      <c r="B270" s="6" t="str">
        <f>_xlfn.CONCAT("Q",CEILING(Fuel_prices[[#This Row],[Month]]/3,1))</f>
        <v>Q2</v>
      </c>
      <c r="C270" s="6">
        <f>MONTH(Fuel_prices[[#This Row],[Date]])</f>
        <v>5</v>
      </c>
      <c r="D270" s="6" t="str">
        <f>TEXT(Fuel_prices[[#This Row],[Date]],"mmm")</f>
        <v>May</v>
      </c>
      <c r="E270" s="6">
        <f>YEAR(Fuel_prices[[#This Row],[Date]])</f>
        <v>1992</v>
      </c>
      <c r="F270" s="5">
        <v>19.5</v>
      </c>
      <c r="G270" s="2">
        <f ca="1">ROUND(IFERROR((Fuel_prices[[#This Row],[Crude_Oil_Price]]-OFFSET(Fuel_prices[[#This Row],[Crude_Oil_Price]],-1,0)),0),2)</f>
        <v>0.87</v>
      </c>
      <c r="H270" s="2">
        <f ca="1">ROUND((IFERROR((Fuel_prices[[#This Row],[Crude_Oil_Price]]-OFFSET(Fuel_prices[[#This Row],[Crude_Oil_Price]],-1,0))/(OFFSET(Fuel_prices[[#This Row],[Crude_Oil_Price]],-1,0)),0))*100,2)</f>
        <v>4.6500000000000004</v>
      </c>
      <c r="I270" s="2" t="str" cm="1">
        <f t="array" aca="1" ref="I270" ca="1">_xlfn.IFS(
    ABS(Fuel_prices[[#This Row],[%_change]])&gt;50,"SEVERE IMPACT",
    ABS(Fuel_prices[[#This Row],[%_change]])&gt;25,"HIGH IMPACT",
    ABS(Fuel_prices[[#This Row],[%_change]])&gt;5,"MID IMPACT",
    ABS(Fuel_prices[[#This Row],[%_change]])&lt;=5,"LITTLE IMPACT"
)</f>
        <v>LITTLE IMPACT</v>
      </c>
    </row>
    <row r="271" spans="1:9" x14ac:dyDescent="0.25">
      <c r="A271" s="4">
        <v>33756</v>
      </c>
      <c r="B271" s="6" t="str">
        <f>_xlfn.CONCAT("Q",CEILING(Fuel_prices[[#This Row],[Month]]/3,1))</f>
        <v>Q2</v>
      </c>
      <c r="C271" s="6">
        <f>MONTH(Fuel_prices[[#This Row],[Date]])</f>
        <v>6</v>
      </c>
      <c r="D271" s="6" t="str">
        <f>TEXT(Fuel_prices[[#This Row],[Date]],"mmm")</f>
        <v>Jun</v>
      </c>
      <c r="E271" s="6">
        <f>YEAR(Fuel_prices[[#This Row],[Date]])</f>
        <v>1992</v>
      </c>
      <c r="F271" s="5">
        <v>20.83333333333</v>
      </c>
      <c r="G271" s="2">
        <f ca="1">ROUND(IFERROR((Fuel_prices[[#This Row],[Crude_Oil_Price]]-OFFSET(Fuel_prices[[#This Row],[Crude_Oil_Price]],-1,0)),0),2)</f>
        <v>1.33</v>
      </c>
      <c r="H271" s="2">
        <f ca="1">ROUND((IFERROR((Fuel_prices[[#This Row],[Crude_Oil_Price]]-OFFSET(Fuel_prices[[#This Row],[Crude_Oil_Price]],-1,0))/(OFFSET(Fuel_prices[[#This Row],[Crude_Oil_Price]],-1,0)),0))*100,2)</f>
        <v>6.84</v>
      </c>
      <c r="I271" s="2" t="str" cm="1">
        <f t="array" aca="1" ref="I271" ca="1">_xlfn.IFS(
    ABS(Fuel_prices[[#This Row],[%_change]])&gt;50,"SEVERE IMPACT",
    ABS(Fuel_prices[[#This Row],[%_change]])&gt;25,"HIGH IMPACT",
    ABS(Fuel_prices[[#This Row],[%_change]])&gt;5,"MID IMPACT",
    ABS(Fuel_prices[[#This Row],[%_change]])&lt;=5,"LITTLE IMPACT"
)</f>
        <v>MID IMPACT</v>
      </c>
    </row>
    <row r="272" spans="1:9" x14ac:dyDescent="0.25">
      <c r="A272" s="4">
        <v>33786</v>
      </c>
      <c r="B272" s="6" t="str">
        <f>_xlfn.CONCAT("Q",CEILING(Fuel_prices[[#This Row],[Month]]/3,1))</f>
        <v>Q3</v>
      </c>
      <c r="C272" s="6">
        <f>MONTH(Fuel_prices[[#This Row],[Date]])</f>
        <v>7</v>
      </c>
      <c r="D272" s="6" t="str">
        <f>TEXT(Fuel_prices[[#This Row],[Date]],"mmm")</f>
        <v>Jul</v>
      </c>
      <c r="E272" s="6">
        <f>YEAR(Fuel_prices[[#This Row],[Date]])</f>
        <v>1992</v>
      </c>
      <c r="F272" s="5">
        <v>20.16666666667</v>
      </c>
      <c r="G272" s="2">
        <f ca="1">ROUND(IFERROR((Fuel_prices[[#This Row],[Crude_Oil_Price]]-OFFSET(Fuel_prices[[#This Row],[Crude_Oil_Price]],-1,0)),0),2)</f>
        <v>-0.67</v>
      </c>
      <c r="H272" s="2">
        <f ca="1">ROUND((IFERROR((Fuel_prices[[#This Row],[Crude_Oil_Price]]-OFFSET(Fuel_prices[[#This Row],[Crude_Oil_Price]],-1,0))/(OFFSET(Fuel_prices[[#This Row],[Crude_Oil_Price]],-1,0)),0))*100,2)</f>
        <v>-3.2</v>
      </c>
      <c r="I272" s="2" t="str" cm="1">
        <f t="array" aca="1" ref="I272" ca="1">_xlfn.IFS(
    ABS(Fuel_prices[[#This Row],[%_change]])&gt;50,"SEVERE IMPACT",
    ABS(Fuel_prices[[#This Row],[%_change]])&gt;25,"HIGH IMPACT",
    ABS(Fuel_prices[[#This Row],[%_change]])&gt;5,"MID IMPACT",
    ABS(Fuel_prices[[#This Row],[%_change]])&lt;=5,"LITTLE IMPACT"
)</f>
        <v>LITTLE IMPACT</v>
      </c>
    </row>
    <row r="273" spans="1:9" x14ac:dyDescent="0.25">
      <c r="A273" s="4">
        <v>33817</v>
      </c>
      <c r="B273" s="6" t="str">
        <f>_xlfn.CONCAT("Q",CEILING(Fuel_prices[[#This Row],[Month]]/3,1))</f>
        <v>Q3</v>
      </c>
      <c r="C273" s="6">
        <f>MONTH(Fuel_prices[[#This Row],[Date]])</f>
        <v>8</v>
      </c>
      <c r="D273" s="6" t="str">
        <f>TEXT(Fuel_prices[[#This Row],[Date]],"mmm")</f>
        <v>Aug</v>
      </c>
      <c r="E273" s="6">
        <f>YEAR(Fuel_prices[[#This Row],[Date]])</f>
        <v>1992</v>
      </c>
      <c r="F273" s="5">
        <v>19.61666666667</v>
      </c>
      <c r="G273" s="2">
        <f ca="1">ROUND(IFERROR((Fuel_prices[[#This Row],[Crude_Oil_Price]]-OFFSET(Fuel_prices[[#This Row],[Crude_Oil_Price]],-1,0)),0),2)</f>
        <v>-0.55000000000000004</v>
      </c>
      <c r="H273" s="2">
        <f ca="1">ROUND((IFERROR((Fuel_prices[[#This Row],[Crude_Oil_Price]]-OFFSET(Fuel_prices[[#This Row],[Crude_Oil_Price]],-1,0))/(OFFSET(Fuel_prices[[#This Row],[Crude_Oil_Price]],-1,0)),0))*100,2)</f>
        <v>-2.73</v>
      </c>
      <c r="I273" s="2" t="str" cm="1">
        <f t="array" aca="1" ref="I273" ca="1">_xlfn.IFS(
    ABS(Fuel_prices[[#This Row],[%_change]])&gt;50,"SEVERE IMPACT",
    ABS(Fuel_prices[[#This Row],[%_change]])&gt;25,"HIGH IMPACT",
    ABS(Fuel_prices[[#This Row],[%_change]])&gt;5,"MID IMPACT",
    ABS(Fuel_prices[[#This Row],[%_change]])&lt;=5,"LITTLE IMPACT"
)</f>
        <v>LITTLE IMPACT</v>
      </c>
    </row>
    <row r="274" spans="1:9" x14ac:dyDescent="0.25">
      <c r="A274" s="4">
        <v>33848</v>
      </c>
      <c r="B274" s="6" t="str">
        <f>_xlfn.CONCAT("Q",CEILING(Fuel_prices[[#This Row],[Month]]/3,1))</f>
        <v>Q3</v>
      </c>
      <c r="C274" s="6">
        <f>MONTH(Fuel_prices[[#This Row],[Date]])</f>
        <v>9</v>
      </c>
      <c r="D274" s="6" t="str">
        <f>TEXT(Fuel_prices[[#This Row],[Date]],"mmm")</f>
        <v>Sep</v>
      </c>
      <c r="E274" s="6">
        <f>YEAR(Fuel_prices[[#This Row],[Date]])</f>
        <v>1992</v>
      </c>
      <c r="F274" s="5">
        <v>20.149999999999999</v>
      </c>
      <c r="G274" s="2">
        <f ca="1">ROUND(IFERROR((Fuel_prices[[#This Row],[Crude_Oil_Price]]-OFFSET(Fuel_prices[[#This Row],[Crude_Oil_Price]],-1,0)),0),2)</f>
        <v>0.53</v>
      </c>
      <c r="H274" s="2">
        <f ca="1">ROUND((IFERROR((Fuel_prices[[#This Row],[Crude_Oil_Price]]-OFFSET(Fuel_prices[[#This Row],[Crude_Oil_Price]],-1,0))/(OFFSET(Fuel_prices[[#This Row],[Crude_Oil_Price]],-1,0)),0))*100,2)</f>
        <v>2.72</v>
      </c>
      <c r="I274" s="2" t="str" cm="1">
        <f t="array" aca="1" ref="I274" ca="1">_xlfn.IFS(
    ABS(Fuel_prices[[#This Row],[%_change]])&gt;50,"SEVERE IMPACT",
    ABS(Fuel_prices[[#This Row],[%_change]])&gt;25,"HIGH IMPACT",
    ABS(Fuel_prices[[#This Row],[%_change]])&gt;5,"MID IMPACT",
    ABS(Fuel_prices[[#This Row],[%_change]])&lt;=5,"LITTLE IMPACT"
)</f>
        <v>LITTLE IMPACT</v>
      </c>
    </row>
    <row r="275" spans="1:9" x14ac:dyDescent="0.25">
      <c r="A275" s="4">
        <v>33878</v>
      </c>
      <c r="B275" s="6" t="str">
        <f>_xlfn.CONCAT("Q",CEILING(Fuel_prices[[#This Row],[Month]]/3,1))</f>
        <v>Q4</v>
      </c>
      <c r="C275" s="6">
        <f>MONTH(Fuel_prices[[#This Row],[Date]])</f>
        <v>10</v>
      </c>
      <c r="D275" s="6" t="str">
        <f>TEXT(Fuel_prices[[#This Row],[Date]],"mmm")</f>
        <v>Oct</v>
      </c>
      <c r="E275" s="6">
        <f>YEAR(Fuel_prices[[#This Row],[Date]])</f>
        <v>1992</v>
      </c>
      <c r="F275" s="5">
        <v>20.08333333333</v>
      </c>
      <c r="G275" s="2">
        <f ca="1">ROUND(IFERROR((Fuel_prices[[#This Row],[Crude_Oil_Price]]-OFFSET(Fuel_prices[[#This Row],[Crude_Oil_Price]],-1,0)),0),2)</f>
        <v>-7.0000000000000007E-2</v>
      </c>
      <c r="H275" s="2">
        <f ca="1">ROUND((IFERROR((Fuel_prices[[#This Row],[Crude_Oil_Price]]-OFFSET(Fuel_prices[[#This Row],[Crude_Oil_Price]],-1,0))/(OFFSET(Fuel_prices[[#This Row],[Crude_Oil_Price]],-1,0)),0))*100,2)</f>
        <v>-0.33</v>
      </c>
      <c r="I275" s="2" t="str" cm="1">
        <f t="array" aca="1" ref="I275" ca="1">_xlfn.IFS(
    ABS(Fuel_prices[[#This Row],[%_change]])&gt;50,"SEVERE IMPACT",
    ABS(Fuel_prices[[#This Row],[%_change]])&gt;25,"HIGH IMPACT",
    ABS(Fuel_prices[[#This Row],[%_change]])&gt;5,"MID IMPACT",
    ABS(Fuel_prices[[#This Row],[%_change]])&lt;=5,"LITTLE IMPACT"
)</f>
        <v>LITTLE IMPACT</v>
      </c>
    </row>
    <row r="276" spans="1:9" x14ac:dyDescent="0.25">
      <c r="A276" s="4">
        <v>33909</v>
      </c>
      <c r="B276" s="6" t="str">
        <f>_xlfn.CONCAT("Q",CEILING(Fuel_prices[[#This Row],[Month]]/3,1))</f>
        <v>Q4</v>
      </c>
      <c r="C276" s="6">
        <f>MONTH(Fuel_prices[[#This Row],[Date]])</f>
        <v>11</v>
      </c>
      <c r="D276" s="6" t="str">
        <f>TEXT(Fuel_prices[[#This Row],[Date]],"mmm")</f>
        <v>Nov</v>
      </c>
      <c r="E276" s="6">
        <f>YEAR(Fuel_prices[[#This Row],[Date]])</f>
        <v>1992</v>
      </c>
      <c r="F276" s="5">
        <v>18.88333333333</v>
      </c>
      <c r="G276" s="2">
        <f ca="1">ROUND(IFERROR((Fuel_prices[[#This Row],[Crude_Oil_Price]]-OFFSET(Fuel_prices[[#This Row],[Crude_Oil_Price]],-1,0)),0),2)</f>
        <v>-1.2</v>
      </c>
      <c r="H276" s="2">
        <f ca="1">ROUND((IFERROR((Fuel_prices[[#This Row],[Crude_Oil_Price]]-OFFSET(Fuel_prices[[#This Row],[Crude_Oil_Price]],-1,0))/(OFFSET(Fuel_prices[[#This Row],[Crude_Oil_Price]],-1,0)),0))*100,2)</f>
        <v>-5.98</v>
      </c>
      <c r="I276" s="2" t="str" cm="1">
        <f t="array" aca="1" ref="I276" ca="1">_xlfn.IFS(
    ABS(Fuel_prices[[#This Row],[%_change]])&gt;50,"SEVERE IMPACT",
    ABS(Fuel_prices[[#This Row],[%_change]])&gt;25,"HIGH IMPACT",
    ABS(Fuel_prices[[#This Row],[%_change]])&gt;5,"MID IMPACT",
    ABS(Fuel_prices[[#This Row],[%_change]])&lt;=5,"LITTLE IMPACT"
)</f>
        <v>MID IMPACT</v>
      </c>
    </row>
    <row r="277" spans="1:9" x14ac:dyDescent="0.25">
      <c r="A277" s="4">
        <v>33939</v>
      </c>
      <c r="B277" s="6" t="str">
        <f>_xlfn.CONCAT("Q",CEILING(Fuel_prices[[#This Row],[Month]]/3,1))</f>
        <v>Q4</v>
      </c>
      <c r="C277" s="6">
        <f>MONTH(Fuel_prices[[#This Row],[Date]])</f>
        <v>12</v>
      </c>
      <c r="D277" s="6" t="str">
        <f>TEXT(Fuel_prices[[#This Row],[Date]],"mmm")</f>
        <v>Dec</v>
      </c>
      <c r="E277" s="6">
        <f>YEAR(Fuel_prices[[#This Row],[Date]])</f>
        <v>1992</v>
      </c>
      <c r="F277" s="5">
        <v>17.933333333330001</v>
      </c>
      <c r="G277" s="2">
        <f ca="1">ROUND(IFERROR((Fuel_prices[[#This Row],[Crude_Oil_Price]]-OFFSET(Fuel_prices[[#This Row],[Crude_Oil_Price]],-1,0)),0),2)</f>
        <v>-0.95</v>
      </c>
      <c r="H277" s="2">
        <f ca="1">ROUND((IFERROR((Fuel_prices[[#This Row],[Crude_Oil_Price]]-OFFSET(Fuel_prices[[#This Row],[Crude_Oil_Price]],-1,0))/(OFFSET(Fuel_prices[[#This Row],[Crude_Oil_Price]],-1,0)),0))*100,2)</f>
        <v>-5.03</v>
      </c>
      <c r="I277" s="2" t="str" cm="1">
        <f t="array" aca="1" ref="I277" ca="1">_xlfn.IFS(
    ABS(Fuel_prices[[#This Row],[%_change]])&gt;50,"SEVERE IMPACT",
    ABS(Fuel_prices[[#This Row],[%_change]])&gt;25,"HIGH IMPACT",
    ABS(Fuel_prices[[#This Row],[%_change]])&gt;5,"MID IMPACT",
    ABS(Fuel_prices[[#This Row],[%_change]])&lt;=5,"LITTLE IMPACT"
)</f>
        <v>MID IMPACT</v>
      </c>
    </row>
    <row r="278" spans="1:9" x14ac:dyDescent="0.25">
      <c r="A278" s="4">
        <v>33970</v>
      </c>
      <c r="B278" s="6" t="str">
        <f>_xlfn.CONCAT("Q",CEILING(Fuel_prices[[#This Row],[Month]]/3,1))</f>
        <v>Q1</v>
      </c>
      <c r="C278" s="6">
        <f>MONTH(Fuel_prices[[#This Row],[Date]])</f>
        <v>1</v>
      </c>
      <c r="D278" s="6" t="str">
        <f>TEXT(Fuel_prices[[#This Row],[Date]],"mmm")</f>
        <v>Jan</v>
      </c>
      <c r="E278" s="6">
        <f>YEAR(Fuel_prices[[#This Row],[Date]])</f>
        <v>1993</v>
      </c>
      <c r="F278" s="5">
        <v>17.216666666670001</v>
      </c>
      <c r="G278" s="2">
        <f ca="1">ROUND(IFERROR((Fuel_prices[[#This Row],[Crude_Oil_Price]]-OFFSET(Fuel_prices[[#This Row],[Crude_Oil_Price]],-1,0)),0),2)</f>
        <v>-0.72</v>
      </c>
      <c r="H278" s="2">
        <f ca="1">ROUND((IFERROR((Fuel_prices[[#This Row],[Crude_Oil_Price]]-OFFSET(Fuel_prices[[#This Row],[Crude_Oil_Price]],-1,0))/(OFFSET(Fuel_prices[[#This Row],[Crude_Oil_Price]],-1,0)),0))*100,2)</f>
        <v>-4</v>
      </c>
      <c r="I278" s="2" t="str" cm="1">
        <f t="array" aca="1" ref="I278" ca="1">_xlfn.IFS(
    ABS(Fuel_prices[[#This Row],[%_change]])&gt;50,"SEVERE IMPACT",
    ABS(Fuel_prices[[#This Row],[%_change]])&gt;25,"HIGH IMPACT",
    ABS(Fuel_prices[[#This Row],[%_change]])&gt;5,"MID IMPACT",
    ABS(Fuel_prices[[#This Row],[%_change]])&lt;=5,"LITTLE IMPACT"
)</f>
        <v>LITTLE IMPACT</v>
      </c>
    </row>
    <row r="279" spans="1:9" x14ac:dyDescent="0.25">
      <c r="A279" s="4">
        <v>34001</v>
      </c>
      <c r="B279" s="6" t="str">
        <f>_xlfn.CONCAT("Q",CEILING(Fuel_prices[[#This Row],[Month]]/3,1))</f>
        <v>Q1</v>
      </c>
      <c r="C279" s="6">
        <f>MONTH(Fuel_prices[[#This Row],[Date]])</f>
        <v>2</v>
      </c>
      <c r="D279" s="6" t="str">
        <f>TEXT(Fuel_prices[[#This Row],[Date]],"mmm")</f>
        <v>Feb</v>
      </c>
      <c r="E279" s="6">
        <f>YEAR(Fuel_prices[[#This Row],[Date]])</f>
        <v>1993</v>
      </c>
      <c r="F279" s="5">
        <v>18.16666666667</v>
      </c>
      <c r="G279" s="2">
        <f ca="1">ROUND(IFERROR((Fuel_prices[[#This Row],[Crude_Oil_Price]]-OFFSET(Fuel_prices[[#This Row],[Crude_Oil_Price]],-1,0)),0),2)</f>
        <v>0.95</v>
      </c>
      <c r="H279" s="2">
        <f ca="1">ROUND((IFERROR((Fuel_prices[[#This Row],[Crude_Oil_Price]]-OFFSET(Fuel_prices[[#This Row],[Crude_Oil_Price]],-1,0))/(OFFSET(Fuel_prices[[#This Row],[Crude_Oil_Price]],-1,0)),0))*100,2)</f>
        <v>5.52</v>
      </c>
      <c r="I279" s="2" t="str" cm="1">
        <f t="array" aca="1" ref="I279" ca="1">_xlfn.IFS(
    ABS(Fuel_prices[[#This Row],[%_change]])&gt;50,"SEVERE IMPACT",
    ABS(Fuel_prices[[#This Row],[%_change]])&gt;25,"HIGH IMPACT",
    ABS(Fuel_prices[[#This Row],[%_change]])&gt;5,"MID IMPACT",
    ABS(Fuel_prices[[#This Row],[%_change]])&lt;=5,"LITTLE IMPACT"
)</f>
        <v>MID IMPACT</v>
      </c>
    </row>
    <row r="280" spans="1:9" x14ac:dyDescent="0.25">
      <c r="A280" s="4">
        <v>34029</v>
      </c>
      <c r="B280" s="6" t="str">
        <f>_xlfn.CONCAT("Q",CEILING(Fuel_prices[[#This Row],[Month]]/3,1))</f>
        <v>Q1</v>
      </c>
      <c r="C280" s="6">
        <f>MONTH(Fuel_prices[[#This Row],[Date]])</f>
        <v>3</v>
      </c>
      <c r="D280" s="6" t="str">
        <f>TEXT(Fuel_prices[[#This Row],[Date]],"mmm")</f>
        <v>Mar</v>
      </c>
      <c r="E280" s="6">
        <f>YEAR(Fuel_prices[[#This Row],[Date]])</f>
        <v>1993</v>
      </c>
      <c r="F280" s="5">
        <v>18.466666666670001</v>
      </c>
      <c r="G280" s="2">
        <f ca="1">ROUND(IFERROR((Fuel_prices[[#This Row],[Crude_Oil_Price]]-OFFSET(Fuel_prices[[#This Row],[Crude_Oil_Price]],-1,0)),0),2)</f>
        <v>0.3</v>
      </c>
      <c r="H280" s="2">
        <f ca="1">ROUND((IFERROR((Fuel_prices[[#This Row],[Crude_Oil_Price]]-OFFSET(Fuel_prices[[#This Row],[Crude_Oil_Price]],-1,0))/(OFFSET(Fuel_prices[[#This Row],[Crude_Oil_Price]],-1,0)),0))*100,2)</f>
        <v>1.65</v>
      </c>
      <c r="I280" s="2" t="str" cm="1">
        <f t="array" aca="1" ref="I280" ca="1">_xlfn.IFS(
    ABS(Fuel_prices[[#This Row],[%_change]])&gt;50,"SEVERE IMPACT",
    ABS(Fuel_prices[[#This Row],[%_change]])&gt;25,"HIGH IMPACT",
    ABS(Fuel_prices[[#This Row],[%_change]])&gt;5,"MID IMPACT",
    ABS(Fuel_prices[[#This Row],[%_change]])&lt;=5,"LITTLE IMPACT"
)</f>
        <v>LITTLE IMPACT</v>
      </c>
    </row>
    <row r="281" spans="1:9" x14ac:dyDescent="0.25">
      <c r="A281" s="4">
        <v>34060</v>
      </c>
      <c r="B281" s="6" t="str">
        <f>_xlfn.CONCAT("Q",CEILING(Fuel_prices[[#This Row],[Month]]/3,1))</f>
        <v>Q2</v>
      </c>
      <c r="C281" s="6">
        <f>MONTH(Fuel_prices[[#This Row],[Date]])</f>
        <v>4</v>
      </c>
      <c r="D281" s="6" t="str">
        <f>TEXT(Fuel_prices[[#This Row],[Date]],"mmm")</f>
        <v>Apr</v>
      </c>
      <c r="E281" s="6">
        <f>YEAR(Fuel_prices[[#This Row],[Date]])</f>
        <v>1993</v>
      </c>
      <c r="F281" s="5">
        <v>18.433333333330001</v>
      </c>
      <c r="G281" s="2">
        <f ca="1">ROUND(IFERROR((Fuel_prices[[#This Row],[Crude_Oil_Price]]-OFFSET(Fuel_prices[[#This Row],[Crude_Oil_Price]],-1,0)),0),2)</f>
        <v>-0.03</v>
      </c>
      <c r="H281" s="2">
        <f ca="1">ROUND((IFERROR((Fuel_prices[[#This Row],[Crude_Oil_Price]]-OFFSET(Fuel_prices[[#This Row],[Crude_Oil_Price]],-1,0))/(OFFSET(Fuel_prices[[#This Row],[Crude_Oil_Price]],-1,0)),0))*100,2)</f>
        <v>-0.18</v>
      </c>
      <c r="I281" s="2" t="str" cm="1">
        <f t="array" aca="1" ref="I281" ca="1">_xlfn.IFS(
    ABS(Fuel_prices[[#This Row],[%_change]])&gt;50,"SEVERE IMPACT",
    ABS(Fuel_prices[[#This Row],[%_change]])&gt;25,"HIGH IMPACT",
    ABS(Fuel_prices[[#This Row],[%_change]])&gt;5,"MID IMPACT",
    ABS(Fuel_prices[[#This Row],[%_change]])&lt;=5,"LITTLE IMPACT"
)</f>
        <v>LITTLE IMPACT</v>
      </c>
    </row>
    <row r="282" spans="1:9" x14ac:dyDescent="0.25">
      <c r="A282" s="4">
        <v>34090</v>
      </c>
      <c r="B282" s="6" t="str">
        <f>_xlfn.CONCAT("Q",CEILING(Fuel_prices[[#This Row],[Month]]/3,1))</f>
        <v>Q2</v>
      </c>
      <c r="C282" s="6">
        <f>MONTH(Fuel_prices[[#This Row],[Date]])</f>
        <v>5</v>
      </c>
      <c r="D282" s="6" t="str">
        <f>TEXT(Fuel_prices[[#This Row],[Date]],"mmm")</f>
        <v>May</v>
      </c>
      <c r="E282" s="6">
        <f>YEAR(Fuel_prices[[#This Row],[Date]])</f>
        <v>1993</v>
      </c>
      <c r="F282" s="5">
        <v>18.16666666667</v>
      </c>
      <c r="G282" s="2">
        <f ca="1">ROUND(IFERROR((Fuel_prices[[#This Row],[Crude_Oil_Price]]-OFFSET(Fuel_prices[[#This Row],[Crude_Oil_Price]],-1,0)),0),2)</f>
        <v>-0.27</v>
      </c>
      <c r="H282" s="2">
        <f ca="1">ROUND((IFERROR((Fuel_prices[[#This Row],[Crude_Oil_Price]]-OFFSET(Fuel_prices[[#This Row],[Crude_Oil_Price]],-1,0))/(OFFSET(Fuel_prices[[#This Row],[Crude_Oil_Price]],-1,0)),0))*100,2)</f>
        <v>-1.45</v>
      </c>
      <c r="I282" s="2" t="str" cm="1">
        <f t="array" aca="1" ref="I282" ca="1">_xlfn.IFS(
    ABS(Fuel_prices[[#This Row],[%_change]])&gt;50,"SEVERE IMPACT",
    ABS(Fuel_prices[[#This Row],[%_change]])&gt;25,"HIGH IMPACT",
    ABS(Fuel_prices[[#This Row],[%_change]])&gt;5,"MID IMPACT",
    ABS(Fuel_prices[[#This Row],[%_change]])&lt;=5,"LITTLE IMPACT"
)</f>
        <v>LITTLE IMPACT</v>
      </c>
    </row>
    <row r="283" spans="1:9" x14ac:dyDescent="0.25">
      <c r="A283" s="4">
        <v>34121</v>
      </c>
      <c r="B283" s="6" t="str">
        <f>_xlfn.CONCAT("Q",CEILING(Fuel_prices[[#This Row],[Month]]/3,1))</f>
        <v>Q2</v>
      </c>
      <c r="C283" s="6">
        <f>MONTH(Fuel_prices[[#This Row],[Date]])</f>
        <v>6</v>
      </c>
      <c r="D283" s="6" t="str">
        <f>TEXT(Fuel_prices[[#This Row],[Date]],"mmm")</f>
        <v>Jun</v>
      </c>
      <c r="E283" s="6">
        <f>YEAR(Fuel_prices[[#This Row],[Date]])</f>
        <v>1993</v>
      </c>
      <c r="F283" s="5">
        <v>17.466666666670001</v>
      </c>
      <c r="G283" s="2">
        <f ca="1">ROUND(IFERROR((Fuel_prices[[#This Row],[Crude_Oil_Price]]-OFFSET(Fuel_prices[[#This Row],[Crude_Oil_Price]],-1,0)),0),2)</f>
        <v>-0.7</v>
      </c>
      <c r="H283" s="2">
        <f ca="1">ROUND((IFERROR((Fuel_prices[[#This Row],[Crude_Oil_Price]]-OFFSET(Fuel_prices[[#This Row],[Crude_Oil_Price]],-1,0))/(OFFSET(Fuel_prices[[#This Row],[Crude_Oil_Price]],-1,0)),0))*100,2)</f>
        <v>-3.85</v>
      </c>
      <c r="I283" s="2" t="str" cm="1">
        <f t="array" aca="1" ref="I283" ca="1">_xlfn.IFS(
    ABS(Fuel_prices[[#This Row],[%_change]])&gt;50,"SEVERE IMPACT",
    ABS(Fuel_prices[[#This Row],[%_change]])&gt;25,"HIGH IMPACT",
    ABS(Fuel_prices[[#This Row],[%_change]])&gt;5,"MID IMPACT",
    ABS(Fuel_prices[[#This Row],[%_change]])&lt;=5,"LITTLE IMPACT"
)</f>
        <v>LITTLE IMPACT</v>
      </c>
    </row>
    <row r="284" spans="1:9" x14ac:dyDescent="0.25">
      <c r="A284" s="4">
        <v>34151</v>
      </c>
      <c r="B284" s="6" t="str">
        <f>_xlfn.CONCAT("Q",CEILING(Fuel_prices[[#This Row],[Month]]/3,1))</f>
        <v>Q3</v>
      </c>
      <c r="C284" s="6">
        <f>MONTH(Fuel_prices[[#This Row],[Date]])</f>
        <v>7</v>
      </c>
      <c r="D284" s="6" t="str">
        <f>TEXT(Fuel_prices[[#This Row],[Date]],"mmm")</f>
        <v>Jul</v>
      </c>
      <c r="E284" s="6">
        <f>YEAR(Fuel_prices[[#This Row],[Date]])</f>
        <v>1993</v>
      </c>
      <c r="F284" s="5">
        <v>16.316666666669999</v>
      </c>
      <c r="G284" s="2">
        <f ca="1">ROUND(IFERROR((Fuel_prices[[#This Row],[Crude_Oil_Price]]-OFFSET(Fuel_prices[[#This Row],[Crude_Oil_Price]],-1,0)),0),2)</f>
        <v>-1.1499999999999999</v>
      </c>
      <c r="H284" s="2">
        <f ca="1">ROUND((IFERROR((Fuel_prices[[#This Row],[Crude_Oil_Price]]-OFFSET(Fuel_prices[[#This Row],[Crude_Oil_Price]],-1,0))/(OFFSET(Fuel_prices[[#This Row],[Crude_Oil_Price]],-1,0)),0))*100,2)</f>
        <v>-6.58</v>
      </c>
      <c r="I284" s="2" t="str" cm="1">
        <f t="array" aca="1" ref="I284" ca="1">_xlfn.IFS(
    ABS(Fuel_prices[[#This Row],[%_change]])&gt;50,"SEVERE IMPACT",
    ABS(Fuel_prices[[#This Row],[%_change]])&gt;25,"HIGH IMPACT",
    ABS(Fuel_prices[[#This Row],[%_change]])&gt;5,"MID IMPACT",
    ABS(Fuel_prices[[#This Row],[%_change]])&lt;=5,"LITTLE IMPACT"
)</f>
        <v>MID IMPACT</v>
      </c>
    </row>
    <row r="285" spans="1:9" x14ac:dyDescent="0.25">
      <c r="A285" s="4">
        <v>34182</v>
      </c>
      <c r="B285" s="6" t="str">
        <f>_xlfn.CONCAT("Q",CEILING(Fuel_prices[[#This Row],[Month]]/3,1))</f>
        <v>Q3</v>
      </c>
      <c r="C285" s="6">
        <f>MONTH(Fuel_prices[[#This Row],[Date]])</f>
        <v>8</v>
      </c>
      <c r="D285" s="6" t="str">
        <f>TEXT(Fuel_prices[[#This Row],[Date]],"mmm")</f>
        <v>Aug</v>
      </c>
      <c r="E285" s="6">
        <f>YEAR(Fuel_prices[[#This Row],[Date]])</f>
        <v>1993</v>
      </c>
      <c r="F285" s="5">
        <v>16.483333333329998</v>
      </c>
      <c r="G285" s="2">
        <f ca="1">ROUND(IFERROR((Fuel_prices[[#This Row],[Crude_Oil_Price]]-OFFSET(Fuel_prices[[#This Row],[Crude_Oil_Price]],-1,0)),0),2)</f>
        <v>0.17</v>
      </c>
      <c r="H285" s="2">
        <f ca="1">ROUND((IFERROR((Fuel_prices[[#This Row],[Crude_Oil_Price]]-OFFSET(Fuel_prices[[#This Row],[Crude_Oil_Price]],-1,0))/(OFFSET(Fuel_prices[[#This Row],[Crude_Oil_Price]],-1,0)),0))*100,2)</f>
        <v>1.02</v>
      </c>
      <c r="I285" s="2" t="str" cm="1">
        <f t="array" aca="1" ref="I285" ca="1">_xlfn.IFS(
    ABS(Fuel_prices[[#This Row],[%_change]])&gt;50,"SEVERE IMPACT",
    ABS(Fuel_prices[[#This Row],[%_change]])&gt;25,"HIGH IMPACT",
    ABS(Fuel_prices[[#This Row],[%_change]])&gt;5,"MID IMPACT",
    ABS(Fuel_prices[[#This Row],[%_change]])&lt;=5,"LITTLE IMPACT"
)</f>
        <v>LITTLE IMPACT</v>
      </c>
    </row>
    <row r="286" spans="1:9" x14ac:dyDescent="0.25">
      <c r="A286" s="4">
        <v>34213</v>
      </c>
      <c r="B286" s="6" t="str">
        <f>_xlfn.CONCAT("Q",CEILING(Fuel_prices[[#This Row],[Month]]/3,1))</f>
        <v>Q3</v>
      </c>
      <c r="C286" s="6">
        <f>MONTH(Fuel_prices[[#This Row],[Date]])</f>
        <v>9</v>
      </c>
      <c r="D286" s="6" t="str">
        <f>TEXT(Fuel_prices[[#This Row],[Date]],"mmm")</f>
        <v>Sep</v>
      </c>
      <c r="E286" s="6">
        <f>YEAR(Fuel_prices[[#This Row],[Date]])</f>
        <v>1993</v>
      </c>
      <c r="F286" s="5">
        <v>15.9</v>
      </c>
      <c r="G286" s="2">
        <f ca="1">ROUND(IFERROR((Fuel_prices[[#This Row],[Crude_Oil_Price]]-OFFSET(Fuel_prices[[#This Row],[Crude_Oil_Price]],-1,0)),0),2)</f>
        <v>-0.57999999999999996</v>
      </c>
      <c r="H286" s="2">
        <f ca="1">ROUND((IFERROR((Fuel_prices[[#This Row],[Crude_Oil_Price]]-OFFSET(Fuel_prices[[#This Row],[Crude_Oil_Price]],-1,0))/(OFFSET(Fuel_prices[[#This Row],[Crude_Oil_Price]],-1,0)),0))*100,2)</f>
        <v>-3.54</v>
      </c>
      <c r="I286" s="2" t="str" cm="1">
        <f t="array" aca="1" ref="I286" ca="1">_xlfn.IFS(
    ABS(Fuel_prices[[#This Row],[%_change]])&gt;50,"SEVERE IMPACT",
    ABS(Fuel_prices[[#This Row],[%_change]])&gt;25,"HIGH IMPACT",
    ABS(Fuel_prices[[#This Row],[%_change]])&gt;5,"MID IMPACT",
    ABS(Fuel_prices[[#This Row],[%_change]])&lt;=5,"LITTLE IMPACT"
)</f>
        <v>LITTLE IMPACT</v>
      </c>
    </row>
    <row r="287" spans="1:9" x14ac:dyDescent="0.25">
      <c r="A287" s="4">
        <v>34243</v>
      </c>
      <c r="B287" s="6" t="str">
        <f>_xlfn.CONCAT("Q",CEILING(Fuel_prices[[#This Row],[Month]]/3,1))</f>
        <v>Q4</v>
      </c>
      <c r="C287" s="6">
        <f>MONTH(Fuel_prices[[#This Row],[Date]])</f>
        <v>10</v>
      </c>
      <c r="D287" s="6" t="str">
        <f>TEXT(Fuel_prices[[#This Row],[Date]],"mmm")</f>
        <v>Oct</v>
      </c>
      <c r="E287" s="6">
        <f>YEAR(Fuel_prices[[#This Row],[Date]])</f>
        <v>1993</v>
      </c>
      <c r="F287" s="5">
        <v>16.516666666670002</v>
      </c>
      <c r="G287" s="2">
        <f ca="1">ROUND(IFERROR((Fuel_prices[[#This Row],[Crude_Oil_Price]]-OFFSET(Fuel_prices[[#This Row],[Crude_Oil_Price]],-1,0)),0),2)</f>
        <v>0.62</v>
      </c>
      <c r="H287" s="2">
        <f ca="1">ROUND((IFERROR((Fuel_prices[[#This Row],[Crude_Oil_Price]]-OFFSET(Fuel_prices[[#This Row],[Crude_Oil_Price]],-1,0))/(OFFSET(Fuel_prices[[#This Row],[Crude_Oil_Price]],-1,0)),0))*100,2)</f>
        <v>3.88</v>
      </c>
      <c r="I287" s="2" t="str" cm="1">
        <f t="array" aca="1" ref="I287" ca="1">_xlfn.IFS(
    ABS(Fuel_prices[[#This Row],[%_change]])&gt;50,"SEVERE IMPACT",
    ABS(Fuel_prices[[#This Row],[%_change]])&gt;25,"HIGH IMPACT",
    ABS(Fuel_prices[[#This Row],[%_change]])&gt;5,"MID IMPACT",
    ABS(Fuel_prices[[#This Row],[%_change]])&lt;=5,"LITTLE IMPACT"
)</f>
        <v>LITTLE IMPACT</v>
      </c>
    </row>
    <row r="288" spans="1:9" x14ac:dyDescent="0.25">
      <c r="A288" s="4">
        <v>34274</v>
      </c>
      <c r="B288" s="6" t="str">
        <f>_xlfn.CONCAT("Q",CEILING(Fuel_prices[[#This Row],[Month]]/3,1))</f>
        <v>Q4</v>
      </c>
      <c r="C288" s="6">
        <f>MONTH(Fuel_prices[[#This Row],[Date]])</f>
        <v>11</v>
      </c>
      <c r="D288" s="6" t="str">
        <f>TEXT(Fuel_prices[[#This Row],[Date]],"mmm")</f>
        <v>Nov</v>
      </c>
      <c r="E288" s="6">
        <f>YEAR(Fuel_prices[[#This Row],[Date]])</f>
        <v>1993</v>
      </c>
      <c r="F288" s="5">
        <v>15.2</v>
      </c>
      <c r="G288" s="2">
        <f ca="1">ROUND(IFERROR((Fuel_prices[[#This Row],[Crude_Oil_Price]]-OFFSET(Fuel_prices[[#This Row],[Crude_Oil_Price]],-1,0)),0),2)</f>
        <v>-1.32</v>
      </c>
      <c r="H288" s="2">
        <f ca="1">ROUND((IFERROR((Fuel_prices[[#This Row],[Crude_Oil_Price]]-OFFSET(Fuel_prices[[#This Row],[Crude_Oil_Price]],-1,0))/(OFFSET(Fuel_prices[[#This Row],[Crude_Oil_Price]],-1,0)),0))*100,2)</f>
        <v>-7.97</v>
      </c>
      <c r="I288" s="2" t="str" cm="1">
        <f t="array" aca="1" ref="I288" ca="1">_xlfn.IFS(
    ABS(Fuel_prices[[#This Row],[%_change]])&gt;50,"SEVERE IMPACT",
    ABS(Fuel_prices[[#This Row],[%_change]])&gt;25,"HIGH IMPACT",
    ABS(Fuel_prices[[#This Row],[%_change]])&gt;5,"MID IMPACT",
    ABS(Fuel_prices[[#This Row],[%_change]])&lt;=5,"LITTLE IMPACT"
)</f>
        <v>MID IMPACT</v>
      </c>
    </row>
    <row r="289" spans="1:9" x14ac:dyDescent="0.25">
      <c r="A289" s="4">
        <v>34304</v>
      </c>
      <c r="B289" s="6" t="str">
        <f>_xlfn.CONCAT("Q",CEILING(Fuel_prices[[#This Row],[Month]]/3,1))</f>
        <v>Q4</v>
      </c>
      <c r="C289" s="6">
        <f>MONTH(Fuel_prices[[#This Row],[Date]])</f>
        <v>12</v>
      </c>
      <c r="D289" s="6" t="str">
        <f>TEXT(Fuel_prices[[#This Row],[Date]],"mmm")</f>
        <v>Dec</v>
      </c>
      <c r="E289" s="6">
        <f>YEAR(Fuel_prices[[#This Row],[Date]])</f>
        <v>1993</v>
      </c>
      <c r="F289" s="5">
        <v>13.76666666667</v>
      </c>
      <c r="G289" s="2">
        <f ca="1">ROUND(IFERROR((Fuel_prices[[#This Row],[Crude_Oil_Price]]-OFFSET(Fuel_prices[[#This Row],[Crude_Oil_Price]],-1,0)),0),2)</f>
        <v>-1.43</v>
      </c>
      <c r="H289" s="2">
        <f ca="1">ROUND((IFERROR((Fuel_prices[[#This Row],[Crude_Oil_Price]]-OFFSET(Fuel_prices[[#This Row],[Crude_Oil_Price]],-1,0))/(OFFSET(Fuel_prices[[#This Row],[Crude_Oil_Price]],-1,0)),0))*100,2)</f>
        <v>-9.43</v>
      </c>
      <c r="I289" s="2" t="str" cm="1">
        <f t="array" aca="1" ref="I289" ca="1">_xlfn.IFS(
    ABS(Fuel_prices[[#This Row],[%_change]])&gt;50,"SEVERE IMPACT",
    ABS(Fuel_prices[[#This Row],[%_change]])&gt;25,"HIGH IMPACT",
    ABS(Fuel_prices[[#This Row],[%_change]])&gt;5,"MID IMPACT",
    ABS(Fuel_prices[[#This Row],[%_change]])&lt;=5,"LITTLE IMPACT"
)</f>
        <v>MID IMPACT</v>
      </c>
    </row>
    <row r="290" spans="1:9" x14ac:dyDescent="0.25">
      <c r="A290" s="4">
        <v>34335</v>
      </c>
      <c r="B290" s="6" t="str">
        <f>_xlfn.CONCAT("Q",CEILING(Fuel_prices[[#This Row],[Month]]/3,1))</f>
        <v>Q1</v>
      </c>
      <c r="C290" s="6">
        <f>MONTH(Fuel_prices[[#This Row],[Date]])</f>
        <v>1</v>
      </c>
      <c r="D290" s="6" t="str">
        <f>TEXT(Fuel_prices[[#This Row],[Date]],"mmm")</f>
        <v>Jan</v>
      </c>
      <c r="E290" s="6">
        <f>YEAR(Fuel_prices[[#This Row],[Date]])</f>
        <v>1994</v>
      </c>
      <c r="F290" s="5">
        <v>14.13333333333</v>
      </c>
      <c r="G290" s="2">
        <f ca="1">ROUND(IFERROR((Fuel_prices[[#This Row],[Crude_Oil_Price]]-OFFSET(Fuel_prices[[#This Row],[Crude_Oil_Price]],-1,0)),0),2)</f>
        <v>0.37</v>
      </c>
      <c r="H290" s="2">
        <f ca="1">ROUND((IFERROR((Fuel_prices[[#This Row],[Crude_Oil_Price]]-OFFSET(Fuel_prices[[#This Row],[Crude_Oil_Price]],-1,0))/(OFFSET(Fuel_prices[[#This Row],[Crude_Oil_Price]],-1,0)),0))*100,2)</f>
        <v>2.66</v>
      </c>
      <c r="I290" s="2" t="str" cm="1">
        <f t="array" aca="1" ref="I290" ca="1">_xlfn.IFS(
    ABS(Fuel_prices[[#This Row],[%_change]])&gt;50,"SEVERE IMPACT",
    ABS(Fuel_prices[[#This Row],[%_change]])&gt;25,"HIGH IMPACT",
    ABS(Fuel_prices[[#This Row],[%_change]])&gt;5,"MID IMPACT",
    ABS(Fuel_prices[[#This Row],[%_change]])&lt;=5,"LITTLE IMPACT"
)</f>
        <v>LITTLE IMPACT</v>
      </c>
    </row>
    <row r="291" spans="1:9" x14ac:dyDescent="0.25">
      <c r="A291" s="4">
        <v>34366</v>
      </c>
      <c r="B291" s="6" t="str">
        <f>_xlfn.CONCAT("Q",CEILING(Fuel_prices[[#This Row],[Month]]/3,1))</f>
        <v>Q1</v>
      </c>
      <c r="C291" s="6">
        <f>MONTH(Fuel_prices[[#This Row],[Date]])</f>
        <v>2</v>
      </c>
      <c r="D291" s="6" t="str">
        <f>TEXT(Fuel_prices[[#This Row],[Date]],"mmm")</f>
        <v>Feb</v>
      </c>
      <c r="E291" s="6">
        <f>YEAR(Fuel_prices[[#This Row],[Date]])</f>
        <v>1994</v>
      </c>
      <c r="F291" s="5">
        <v>13.783333333330001</v>
      </c>
      <c r="G291" s="2">
        <f ca="1">ROUND(IFERROR((Fuel_prices[[#This Row],[Crude_Oil_Price]]-OFFSET(Fuel_prices[[#This Row],[Crude_Oil_Price]],-1,0)),0),2)</f>
        <v>-0.35</v>
      </c>
      <c r="H291" s="2">
        <f ca="1">ROUND((IFERROR((Fuel_prices[[#This Row],[Crude_Oil_Price]]-OFFSET(Fuel_prices[[#This Row],[Crude_Oil_Price]],-1,0))/(OFFSET(Fuel_prices[[#This Row],[Crude_Oil_Price]],-1,0)),0))*100,2)</f>
        <v>-2.48</v>
      </c>
      <c r="I291" s="2" t="str" cm="1">
        <f t="array" aca="1" ref="I291" ca="1">_xlfn.IFS(
    ABS(Fuel_prices[[#This Row],[%_change]])&gt;50,"SEVERE IMPACT",
    ABS(Fuel_prices[[#This Row],[%_change]])&gt;25,"HIGH IMPACT",
    ABS(Fuel_prices[[#This Row],[%_change]])&gt;5,"MID IMPACT",
    ABS(Fuel_prices[[#This Row],[%_change]])&lt;=5,"LITTLE IMPACT"
)</f>
        <v>LITTLE IMPACT</v>
      </c>
    </row>
    <row r="292" spans="1:9" x14ac:dyDescent="0.25">
      <c r="A292" s="4">
        <v>34394</v>
      </c>
      <c r="B292" s="6" t="str">
        <f>_xlfn.CONCAT("Q",CEILING(Fuel_prices[[#This Row],[Month]]/3,1))</f>
        <v>Q1</v>
      </c>
      <c r="C292" s="6">
        <f>MONTH(Fuel_prices[[#This Row],[Date]])</f>
        <v>3</v>
      </c>
      <c r="D292" s="6" t="str">
        <f>TEXT(Fuel_prices[[#This Row],[Date]],"mmm")</f>
        <v>Mar</v>
      </c>
      <c r="E292" s="6">
        <f>YEAR(Fuel_prices[[#This Row],[Date]])</f>
        <v>1994</v>
      </c>
      <c r="F292" s="5">
        <v>13.61666666667</v>
      </c>
      <c r="G292" s="2">
        <f ca="1">ROUND(IFERROR((Fuel_prices[[#This Row],[Crude_Oil_Price]]-OFFSET(Fuel_prices[[#This Row],[Crude_Oil_Price]],-1,0)),0),2)</f>
        <v>-0.17</v>
      </c>
      <c r="H292" s="2">
        <f ca="1">ROUND((IFERROR((Fuel_prices[[#This Row],[Crude_Oil_Price]]-OFFSET(Fuel_prices[[#This Row],[Crude_Oil_Price]],-1,0))/(OFFSET(Fuel_prices[[#This Row],[Crude_Oil_Price]],-1,0)),0))*100,2)</f>
        <v>-1.21</v>
      </c>
      <c r="I292" s="2" t="str" cm="1">
        <f t="array" aca="1" ref="I292" ca="1">_xlfn.IFS(
    ABS(Fuel_prices[[#This Row],[%_change]])&gt;50,"SEVERE IMPACT",
    ABS(Fuel_prices[[#This Row],[%_change]])&gt;25,"HIGH IMPACT",
    ABS(Fuel_prices[[#This Row],[%_change]])&gt;5,"MID IMPACT",
    ABS(Fuel_prices[[#This Row],[%_change]])&lt;=5,"LITTLE IMPACT"
)</f>
        <v>LITTLE IMPACT</v>
      </c>
    </row>
    <row r="293" spans="1:9" x14ac:dyDescent="0.25">
      <c r="A293" s="4">
        <v>34425</v>
      </c>
      <c r="B293" s="6" t="str">
        <f>_xlfn.CONCAT("Q",CEILING(Fuel_prices[[#This Row],[Month]]/3,1))</f>
        <v>Q2</v>
      </c>
      <c r="C293" s="6">
        <f>MONTH(Fuel_prices[[#This Row],[Date]])</f>
        <v>4</v>
      </c>
      <c r="D293" s="6" t="str">
        <f>TEXT(Fuel_prices[[#This Row],[Date]],"mmm")</f>
        <v>Apr</v>
      </c>
      <c r="E293" s="6">
        <f>YEAR(Fuel_prices[[#This Row],[Date]])</f>
        <v>1994</v>
      </c>
      <c r="F293" s="5">
        <v>15.08333333333</v>
      </c>
      <c r="G293" s="2">
        <f ca="1">ROUND(IFERROR((Fuel_prices[[#This Row],[Crude_Oil_Price]]-OFFSET(Fuel_prices[[#This Row],[Crude_Oil_Price]],-1,0)),0),2)</f>
        <v>1.47</v>
      </c>
      <c r="H293" s="2">
        <f ca="1">ROUND((IFERROR((Fuel_prices[[#This Row],[Crude_Oil_Price]]-OFFSET(Fuel_prices[[#This Row],[Crude_Oil_Price]],-1,0))/(OFFSET(Fuel_prices[[#This Row],[Crude_Oil_Price]],-1,0)),0))*100,2)</f>
        <v>10.77</v>
      </c>
      <c r="I293" s="2" t="str" cm="1">
        <f t="array" aca="1" ref="I293" ca="1">_xlfn.IFS(
    ABS(Fuel_prices[[#This Row],[%_change]])&gt;50,"SEVERE IMPACT",
    ABS(Fuel_prices[[#This Row],[%_change]])&gt;25,"HIGH IMPACT",
    ABS(Fuel_prices[[#This Row],[%_change]])&gt;5,"MID IMPACT",
    ABS(Fuel_prices[[#This Row],[%_change]])&lt;=5,"LITTLE IMPACT"
)</f>
        <v>MID IMPACT</v>
      </c>
    </row>
    <row r="294" spans="1:9" x14ac:dyDescent="0.25">
      <c r="A294" s="4">
        <v>34455</v>
      </c>
      <c r="B294" s="6" t="str">
        <f>_xlfn.CONCAT("Q",CEILING(Fuel_prices[[#This Row],[Month]]/3,1))</f>
        <v>Q2</v>
      </c>
      <c r="C294" s="6">
        <f>MONTH(Fuel_prices[[#This Row],[Date]])</f>
        <v>5</v>
      </c>
      <c r="D294" s="6" t="str">
        <f>TEXT(Fuel_prices[[#This Row],[Date]],"mmm")</f>
        <v>May</v>
      </c>
      <c r="E294" s="6">
        <f>YEAR(Fuel_prices[[#This Row],[Date]])</f>
        <v>1994</v>
      </c>
      <c r="F294" s="5">
        <v>16.283333333329999</v>
      </c>
      <c r="G294" s="2">
        <f ca="1">ROUND(IFERROR((Fuel_prices[[#This Row],[Crude_Oil_Price]]-OFFSET(Fuel_prices[[#This Row],[Crude_Oil_Price]],-1,0)),0),2)</f>
        <v>1.2</v>
      </c>
      <c r="H294" s="2">
        <f ca="1">ROUND((IFERROR((Fuel_prices[[#This Row],[Crude_Oil_Price]]-OFFSET(Fuel_prices[[#This Row],[Crude_Oil_Price]],-1,0))/(OFFSET(Fuel_prices[[#This Row],[Crude_Oil_Price]],-1,0)),0))*100,2)</f>
        <v>7.96</v>
      </c>
      <c r="I294" s="2" t="str" cm="1">
        <f t="array" aca="1" ref="I294" ca="1">_xlfn.IFS(
    ABS(Fuel_prices[[#This Row],[%_change]])&gt;50,"SEVERE IMPACT",
    ABS(Fuel_prices[[#This Row],[%_change]])&gt;25,"HIGH IMPACT",
    ABS(Fuel_prices[[#This Row],[%_change]])&gt;5,"MID IMPACT",
    ABS(Fuel_prices[[#This Row],[%_change]])&lt;=5,"LITTLE IMPACT"
)</f>
        <v>MID IMPACT</v>
      </c>
    </row>
    <row r="295" spans="1:9" x14ac:dyDescent="0.25">
      <c r="A295" s="4">
        <v>34486</v>
      </c>
      <c r="B295" s="6" t="str">
        <f>_xlfn.CONCAT("Q",CEILING(Fuel_prices[[#This Row],[Month]]/3,1))</f>
        <v>Q2</v>
      </c>
      <c r="C295" s="6">
        <f>MONTH(Fuel_prices[[#This Row],[Date]])</f>
        <v>6</v>
      </c>
      <c r="D295" s="6" t="str">
        <f>TEXT(Fuel_prices[[#This Row],[Date]],"mmm")</f>
        <v>Jun</v>
      </c>
      <c r="E295" s="6">
        <f>YEAR(Fuel_prices[[#This Row],[Date]])</f>
        <v>1994</v>
      </c>
      <c r="F295" s="5">
        <v>17.16666666667</v>
      </c>
      <c r="G295" s="2">
        <f ca="1">ROUND(IFERROR((Fuel_prices[[#This Row],[Crude_Oil_Price]]-OFFSET(Fuel_prices[[#This Row],[Crude_Oil_Price]],-1,0)),0),2)</f>
        <v>0.88</v>
      </c>
      <c r="H295" s="2">
        <f ca="1">ROUND((IFERROR((Fuel_prices[[#This Row],[Crude_Oil_Price]]-OFFSET(Fuel_prices[[#This Row],[Crude_Oil_Price]],-1,0))/(OFFSET(Fuel_prices[[#This Row],[Crude_Oil_Price]],-1,0)),0))*100,2)</f>
        <v>5.42</v>
      </c>
      <c r="I295" s="2" t="str" cm="1">
        <f t="array" aca="1" ref="I295" ca="1">_xlfn.IFS(
    ABS(Fuel_prices[[#This Row],[%_change]])&gt;50,"SEVERE IMPACT",
    ABS(Fuel_prices[[#This Row],[%_change]])&gt;25,"HIGH IMPACT",
    ABS(Fuel_prices[[#This Row],[%_change]])&gt;5,"MID IMPACT",
    ABS(Fuel_prices[[#This Row],[%_change]])&lt;=5,"LITTLE IMPACT"
)</f>
        <v>MID IMPACT</v>
      </c>
    </row>
    <row r="296" spans="1:9" x14ac:dyDescent="0.25">
      <c r="A296" s="4">
        <v>34516</v>
      </c>
      <c r="B296" s="6" t="str">
        <f>_xlfn.CONCAT("Q",CEILING(Fuel_prices[[#This Row],[Month]]/3,1))</f>
        <v>Q3</v>
      </c>
      <c r="C296" s="6">
        <f>MONTH(Fuel_prices[[#This Row],[Date]])</f>
        <v>7</v>
      </c>
      <c r="D296" s="6" t="str">
        <f>TEXT(Fuel_prices[[#This Row],[Date]],"mmm")</f>
        <v>Jul</v>
      </c>
      <c r="E296" s="6">
        <f>YEAR(Fuel_prices[[#This Row],[Date]])</f>
        <v>1994</v>
      </c>
      <c r="F296" s="5">
        <v>17.88333333333</v>
      </c>
      <c r="G296" s="2">
        <f ca="1">ROUND(IFERROR((Fuel_prices[[#This Row],[Crude_Oil_Price]]-OFFSET(Fuel_prices[[#This Row],[Crude_Oil_Price]],-1,0)),0),2)</f>
        <v>0.72</v>
      </c>
      <c r="H296" s="2">
        <f ca="1">ROUND((IFERROR((Fuel_prices[[#This Row],[Crude_Oil_Price]]-OFFSET(Fuel_prices[[#This Row],[Crude_Oil_Price]],-1,0))/(OFFSET(Fuel_prices[[#This Row],[Crude_Oil_Price]],-1,0)),0))*100,2)</f>
        <v>4.17</v>
      </c>
      <c r="I296" s="2" t="str" cm="1">
        <f t="array" aca="1" ref="I296" ca="1">_xlfn.IFS(
    ABS(Fuel_prices[[#This Row],[%_change]])&gt;50,"SEVERE IMPACT",
    ABS(Fuel_prices[[#This Row],[%_change]])&gt;25,"HIGH IMPACT",
    ABS(Fuel_prices[[#This Row],[%_change]])&gt;5,"MID IMPACT",
    ABS(Fuel_prices[[#This Row],[%_change]])&lt;=5,"LITTLE IMPACT"
)</f>
        <v>LITTLE IMPACT</v>
      </c>
    </row>
    <row r="297" spans="1:9" x14ac:dyDescent="0.25">
      <c r="A297" s="4">
        <v>34547</v>
      </c>
      <c r="B297" s="6" t="str">
        <f>_xlfn.CONCAT("Q",CEILING(Fuel_prices[[#This Row],[Month]]/3,1))</f>
        <v>Q3</v>
      </c>
      <c r="C297" s="6">
        <f>MONTH(Fuel_prices[[#This Row],[Date]])</f>
        <v>8</v>
      </c>
      <c r="D297" s="6" t="str">
        <f>TEXT(Fuel_prices[[#This Row],[Date]],"mmm")</f>
        <v>Aug</v>
      </c>
      <c r="E297" s="6">
        <f>YEAR(Fuel_prices[[#This Row],[Date]])</f>
        <v>1994</v>
      </c>
      <c r="F297" s="5">
        <v>17</v>
      </c>
      <c r="G297" s="2">
        <f ca="1">ROUND(IFERROR((Fuel_prices[[#This Row],[Crude_Oil_Price]]-OFFSET(Fuel_prices[[#This Row],[Crude_Oil_Price]],-1,0)),0),2)</f>
        <v>-0.88</v>
      </c>
      <c r="H297" s="2">
        <f ca="1">ROUND((IFERROR((Fuel_prices[[#This Row],[Crude_Oil_Price]]-OFFSET(Fuel_prices[[#This Row],[Crude_Oil_Price]],-1,0))/(OFFSET(Fuel_prices[[#This Row],[Crude_Oil_Price]],-1,0)),0))*100,2)</f>
        <v>-4.9400000000000004</v>
      </c>
      <c r="I297" s="2" t="str" cm="1">
        <f t="array" aca="1" ref="I297" ca="1">_xlfn.IFS(
    ABS(Fuel_prices[[#This Row],[%_change]])&gt;50,"SEVERE IMPACT",
    ABS(Fuel_prices[[#This Row],[%_change]])&gt;25,"HIGH IMPACT",
    ABS(Fuel_prices[[#This Row],[%_change]])&gt;5,"MID IMPACT",
    ABS(Fuel_prices[[#This Row],[%_change]])&lt;=5,"LITTLE IMPACT"
)</f>
        <v>LITTLE IMPACT</v>
      </c>
    </row>
    <row r="298" spans="1:9" x14ac:dyDescent="0.25">
      <c r="A298" s="4">
        <v>34578</v>
      </c>
      <c r="B298" s="6" t="str">
        <f>_xlfn.CONCAT("Q",CEILING(Fuel_prices[[#This Row],[Month]]/3,1))</f>
        <v>Q3</v>
      </c>
      <c r="C298" s="6">
        <f>MONTH(Fuel_prices[[#This Row],[Date]])</f>
        <v>9</v>
      </c>
      <c r="D298" s="6" t="str">
        <f>TEXT(Fuel_prices[[#This Row],[Date]],"mmm")</f>
        <v>Sep</v>
      </c>
      <c r="E298" s="6">
        <f>YEAR(Fuel_prices[[#This Row],[Date]])</f>
        <v>1994</v>
      </c>
      <c r="F298" s="5">
        <v>16.2</v>
      </c>
      <c r="G298" s="2">
        <f ca="1">ROUND(IFERROR((Fuel_prices[[#This Row],[Crude_Oil_Price]]-OFFSET(Fuel_prices[[#This Row],[Crude_Oil_Price]],-1,0)),0),2)</f>
        <v>-0.8</v>
      </c>
      <c r="H298" s="2">
        <f ca="1">ROUND((IFERROR((Fuel_prices[[#This Row],[Crude_Oil_Price]]-OFFSET(Fuel_prices[[#This Row],[Crude_Oil_Price]],-1,0))/(OFFSET(Fuel_prices[[#This Row],[Crude_Oil_Price]],-1,0)),0))*100,2)</f>
        <v>-4.71</v>
      </c>
      <c r="I298" s="2" t="str" cm="1">
        <f t="array" aca="1" ref="I298" ca="1">_xlfn.IFS(
    ABS(Fuel_prices[[#This Row],[%_change]])&gt;50,"SEVERE IMPACT",
    ABS(Fuel_prices[[#This Row],[%_change]])&gt;25,"HIGH IMPACT",
    ABS(Fuel_prices[[#This Row],[%_change]])&gt;5,"MID IMPACT",
    ABS(Fuel_prices[[#This Row],[%_change]])&lt;=5,"LITTLE IMPACT"
)</f>
        <v>LITTLE IMPACT</v>
      </c>
    </row>
    <row r="299" spans="1:9" x14ac:dyDescent="0.25">
      <c r="A299" s="4">
        <v>34608</v>
      </c>
      <c r="B299" s="6" t="str">
        <f>_xlfn.CONCAT("Q",CEILING(Fuel_prices[[#This Row],[Month]]/3,1))</f>
        <v>Q4</v>
      </c>
      <c r="C299" s="6">
        <f>MONTH(Fuel_prices[[#This Row],[Date]])</f>
        <v>10</v>
      </c>
      <c r="D299" s="6" t="str">
        <f>TEXT(Fuel_prices[[#This Row],[Date]],"mmm")</f>
        <v>Oct</v>
      </c>
      <c r="E299" s="6">
        <f>YEAR(Fuel_prices[[#This Row],[Date]])</f>
        <v>1994</v>
      </c>
      <c r="F299" s="5">
        <v>16.466666666670001</v>
      </c>
      <c r="G299" s="2">
        <f ca="1">ROUND(IFERROR((Fuel_prices[[#This Row],[Crude_Oil_Price]]-OFFSET(Fuel_prices[[#This Row],[Crude_Oil_Price]],-1,0)),0),2)</f>
        <v>0.27</v>
      </c>
      <c r="H299" s="2">
        <f ca="1">ROUND((IFERROR((Fuel_prices[[#This Row],[Crude_Oil_Price]]-OFFSET(Fuel_prices[[#This Row],[Crude_Oil_Price]],-1,0))/(OFFSET(Fuel_prices[[#This Row],[Crude_Oil_Price]],-1,0)),0))*100,2)</f>
        <v>1.65</v>
      </c>
      <c r="I299" s="2" t="str" cm="1">
        <f t="array" aca="1" ref="I299" ca="1">_xlfn.IFS(
    ABS(Fuel_prices[[#This Row],[%_change]])&gt;50,"SEVERE IMPACT",
    ABS(Fuel_prices[[#This Row],[%_change]])&gt;25,"HIGH IMPACT",
    ABS(Fuel_prices[[#This Row],[%_change]])&gt;5,"MID IMPACT",
    ABS(Fuel_prices[[#This Row],[%_change]])&lt;=5,"LITTLE IMPACT"
)</f>
        <v>LITTLE IMPACT</v>
      </c>
    </row>
    <row r="300" spans="1:9" x14ac:dyDescent="0.25">
      <c r="A300" s="4">
        <v>34639</v>
      </c>
      <c r="B300" s="6" t="str">
        <f>_xlfn.CONCAT("Q",CEILING(Fuel_prices[[#This Row],[Month]]/3,1))</f>
        <v>Q4</v>
      </c>
      <c r="C300" s="6">
        <f>MONTH(Fuel_prices[[#This Row],[Date]])</f>
        <v>11</v>
      </c>
      <c r="D300" s="6" t="str">
        <f>TEXT(Fuel_prices[[#This Row],[Date]],"mmm")</f>
        <v>Nov</v>
      </c>
      <c r="E300" s="6">
        <f>YEAR(Fuel_prices[[#This Row],[Date]])</f>
        <v>1994</v>
      </c>
      <c r="F300" s="5">
        <v>17.08333333333</v>
      </c>
      <c r="G300" s="2">
        <f ca="1">ROUND(IFERROR((Fuel_prices[[#This Row],[Crude_Oil_Price]]-OFFSET(Fuel_prices[[#This Row],[Crude_Oil_Price]],-1,0)),0),2)</f>
        <v>0.62</v>
      </c>
      <c r="H300" s="2">
        <f ca="1">ROUND((IFERROR((Fuel_prices[[#This Row],[Crude_Oil_Price]]-OFFSET(Fuel_prices[[#This Row],[Crude_Oil_Price]],-1,0))/(OFFSET(Fuel_prices[[#This Row],[Crude_Oil_Price]],-1,0)),0))*100,2)</f>
        <v>3.74</v>
      </c>
      <c r="I300" s="2" t="str" cm="1">
        <f t="array" aca="1" ref="I300" ca="1">_xlfn.IFS(
    ABS(Fuel_prices[[#This Row],[%_change]])&gt;50,"SEVERE IMPACT",
    ABS(Fuel_prices[[#This Row],[%_change]])&gt;25,"HIGH IMPACT",
    ABS(Fuel_prices[[#This Row],[%_change]])&gt;5,"MID IMPACT",
    ABS(Fuel_prices[[#This Row],[%_change]])&lt;=5,"LITTLE IMPACT"
)</f>
        <v>LITTLE IMPACT</v>
      </c>
    </row>
    <row r="301" spans="1:9" x14ac:dyDescent="0.25">
      <c r="A301" s="4">
        <v>34669</v>
      </c>
      <c r="B301" s="6" t="str">
        <f>_xlfn.CONCAT("Q",CEILING(Fuel_prices[[#This Row],[Month]]/3,1))</f>
        <v>Q4</v>
      </c>
      <c r="C301" s="6">
        <f>MONTH(Fuel_prices[[#This Row],[Date]])</f>
        <v>12</v>
      </c>
      <c r="D301" s="6" t="str">
        <f>TEXT(Fuel_prices[[#This Row],[Date]],"mmm")</f>
        <v>Dec</v>
      </c>
      <c r="E301" s="6">
        <f>YEAR(Fuel_prices[[#This Row],[Date]])</f>
        <v>1994</v>
      </c>
      <c r="F301" s="5">
        <v>15.94</v>
      </c>
      <c r="G301" s="2">
        <f ca="1">ROUND(IFERROR((Fuel_prices[[#This Row],[Crude_Oil_Price]]-OFFSET(Fuel_prices[[#This Row],[Crude_Oil_Price]],-1,0)),0),2)</f>
        <v>-1.1399999999999999</v>
      </c>
      <c r="H301" s="2">
        <f ca="1">ROUND((IFERROR((Fuel_prices[[#This Row],[Crude_Oil_Price]]-OFFSET(Fuel_prices[[#This Row],[Crude_Oil_Price]],-1,0))/(OFFSET(Fuel_prices[[#This Row],[Crude_Oil_Price]],-1,0)),0))*100,2)</f>
        <v>-6.69</v>
      </c>
      <c r="I301" s="2" t="str" cm="1">
        <f t="array" aca="1" ref="I301" ca="1">_xlfn.IFS(
    ABS(Fuel_prices[[#This Row],[%_change]])&gt;50,"SEVERE IMPACT",
    ABS(Fuel_prices[[#This Row],[%_change]])&gt;25,"HIGH IMPACT",
    ABS(Fuel_prices[[#This Row],[%_change]])&gt;5,"MID IMPACT",
    ABS(Fuel_prices[[#This Row],[%_change]])&lt;=5,"LITTLE IMPACT"
)</f>
        <v>MID IMPACT</v>
      </c>
    </row>
    <row r="302" spans="1:9" x14ac:dyDescent="0.25">
      <c r="A302" s="4">
        <v>34700</v>
      </c>
      <c r="B302" s="6" t="str">
        <f>_xlfn.CONCAT("Q",CEILING(Fuel_prices[[#This Row],[Month]]/3,1))</f>
        <v>Q1</v>
      </c>
      <c r="C302" s="6">
        <f>MONTH(Fuel_prices[[#This Row],[Date]])</f>
        <v>1</v>
      </c>
      <c r="D302" s="6" t="str">
        <f>TEXT(Fuel_prices[[#This Row],[Date]],"mmm")</f>
        <v>Jan</v>
      </c>
      <c r="E302" s="6">
        <f>YEAR(Fuel_prices[[#This Row],[Date]])</f>
        <v>1995</v>
      </c>
      <c r="F302" s="5">
        <v>16.899999999999999</v>
      </c>
      <c r="G302" s="2">
        <f ca="1">ROUND(IFERROR((Fuel_prices[[#This Row],[Crude_Oil_Price]]-OFFSET(Fuel_prices[[#This Row],[Crude_Oil_Price]],-1,0)),0),2)</f>
        <v>0.96</v>
      </c>
      <c r="H302" s="2">
        <f ca="1">ROUND((IFERROR((Fuel_prices[[#This Row],[Crude_Oil_Price]]-OFFSET(Fuel_prices[[#This Row],[Crude_Oil_Price]],-1,0))/(OFFSET(Fuel_prices[[#This Row],[Crude_Oil_Price]],-1,0)),0))*100,2)</f>
        <v>6.02</v>
      </c>
      <c r="I302" s="2" t="str" cm="1">
        <f t="array" aca="1" ref="I302" ca="1">_xlfn.IFS(
    ABS(Fuel_prices[[#This Row],[%_change]])&gt;50,"SEVERE IMPACT",
    ABS(Fuel_prices[[#This Row],[%_change]])&gt;25,"HIGH IMPACT",
    ABS(Fuel_prices[[#This Row],[%_change]])&gt;5,"MID IMPACT",
    ABS(Fuel_prices[[#This Row],[%_change]])&lt;=5,"LITTLE IMPACT"
)</f>
        <v>MID IMPACT</v>
      </c>
    </row>
    <row r="303" spans="1:9" x14ac:dyDescent="0.25">
      <c r="A303" s="4">
        <v>34731</v>
      </c>
      <c r="B303" s="6" t="str">
        <f>_xlfn.CONCAT("Q",CEILING(Fuel_prices[[#This Row],[Month]]/3,1))</f>
        <v>Q1</v>
      </c>
      <c r="C303" s="6">
        <f>MONTH(Fuel_prices[[#This Row],[Date]])</f>
        <v>2</v>
      </c>
      <c r="D303" s="6" t="str">
        <f>TEXT(Fuel_prices[[#This Row],[Date]],"mmm")</f>
        <v>Feb</v>
      </c>
      <c r="E303" s="6">
        <f>YEAR(Fuel_prices[[#This Row],[Date]])</f>
        <v>1995</v>
      </c>
      <c r="F303" s="5">
        <v>17.41666666667</v>
      </c>
      <c r="G303" s="2">
        <f ca="1">ROUND(IFERROR((Fuel_prices[[#This Row],[Crude_Oil_Price]]-OFFSET(Fuel_prices[[#This Row],[Crude_Oil_Price]],-1,0)),0),2)</f>
        <v>0.52</v>
      </c>
      <c r="H303" s="2">
        <f ca="1">ROUND((IFERROR((Fuel_prices[[#This Row],[Crude_Oil_Price]]-OFFSET(Fuel_prices[[#This Row],[Crude_Oil_Price]],-1,0))/(OFFSET(Fuel_prices[[#This Row],[Crude_Oil_Price]],-1,0)),0))*100,2)</f>
        <v>3.06</v>
      </c>
      <c r="I303" s="2" t="str" cm="1">
        <f t="array" aca="1" ref="I303" ca="1">_xlfn.IFS(
    ABS(Fuel_prices[[#This Row],[%_change]])&gt;50,"SEVERE IMPACT",
    ABS(Fuel_prices[[#This Row],[%_change]])&gt;25,"HIGH IMPACT",
    ABS(Fuel_prices[[#This Row],[%_change]])&gt;5,"MID IMPACT",
    ABS(Fuel_prices[[#This Row],[%_change]])&lt;=5,"LITTLE IMPACT"
)</f>
        <v>LITTLE IMPACT</v>
      </c>
    </row>
    <row r="304" spans="1:9" x14ac:dyDescent="0.25">
      <c r="A304" s="4">
        <v>34759</v>
      </c>
      <c r="B304" s="6" t="str">
        <f>_xlfn.CONCAT("Q",CEILING(Fuel_prices[[#This Row],[Month]]/3,1))</f>
        <v>Q1</v>
      </c>
      <c r="C304" s="6">
        <f>MONTH(Fuel_prices[[#This Row],[Date]])</f>
        <v>3</v>
      </c>
      <c r="D304" s="6" t="str">
        <f>TEXT(Fuel_prices[[#This Row],[Date]],"mmm")</f>
        <v>Mar</v>
      </c>
      <c r="E304" s="6">
        <f>YEAR(Fuel_prices[[#This Row],[Date]])</f>
        <v>1995</v>
      </c>
      <c r="F304" s="5">
        <v>17.34666666667</v>
      </c>
      <c r="G304" s="2">
        <f ca="1">ROUND(IFERROR((Fuel_prices[[#This Row],[Crude_Oil_Price]]-OFFSET(Fuel_prices[[#This Row],[Crude_Oil_Price]],-1,0)),0),2)</f>
        <v>-7.0000000000000007E-2</v>
      </c>
      <c r="H304" s="2">
        <f ca="1">ROUND((IFERROR((Fuel_prices[[#This Row],[Crude_Oil_Price]]-OFFSET(Fuel_prices[[#This Row],[Crude_Oil_Price]],-1,0))/(OFFSET(Fuel_prices[[#This Row],[Crude_Oil_Price]],-1,0)),0))*100,2)</f>
        <v>-0.4</v>
      </c>
      <c r="I304" s="2" t="str" cm="1">
        <f t="array" aca="1" ref="I304" ca="1">_xlfn.IFS(
    ABS(Fuel_prices[[#This Row],[%_change]])&gt;50,"SEVERE IMPACT",
    ABS(Fuel_prices[[#This Row],[%_change]])&gt;25,"HIGH IMPACT",
    ABS(Fuel_prices[[#This Row],[%_change]])&gt;5,"MID IMPACT",
    ABS(Fuel_prices[[#This Row],[%_change]])&lt;=5,"LITTLE IMPACT"
)</f>
        <v>LITTLE IMPACT</v>
      </c>
    </row>
    <row r="305" spans="1:9" x14ac:dyDescent="0.25">
      <c r="A305" s="4">
        <v>34790</v>
      </c>
      <c r="B305" s="6" t="str">
        <f>_xlfn.CONCAT("Q",CEILING(Fuel_prices[[#This Row],[Month]]/3,1))</f>
        <v>Q2</v>
      </c>
      <c r="C305" s="6">
        <f>MONTH(Fuel_prices[[#This Row],[Date]])</f>
        <v>4</v>
      </c>
      <c r="D305" s="6" t="str">
        <f>TEXT(Fuel_prices[[#This Row],[Date]],"mmm")</f>
        <v>Apr</v>
      </c>
      <c r="E305" s="6">
        <f>YEAR(Fuel_prices[[#This Row],[Date]])</f>
        <v>1995</v>
      </c>
      <c r="F305" s="5">
        <v>18.646666666670001</v>
      </c>
      <c r="G305" s="2">
        <f ca="1">ROUND(IFERROR((Fuel_prices[[#This Row],[Crude_Oil_Price]]-OFFSET(Fuel_prices[[#This Row],[Crude_Oil_Price]],-1,0)),0),2)</f>
        <v>1.3</v>
      </c>
      <c r="H305" s="2">
        <f ca="1">ROUND((IFERROR((Fuel_prices[[#This Row],[Crude_Oil_Price]]-OFFSET(Fuel_prices[[#This Row],[Crude_Oil_Price]],-1,0))/(OFFSET(Fuel_prices[[#This Row],[Crude_Oil_Price]],-1,0)),0))*100,2)</f>
        <v>7.49</v>
      </c>
      <c r="I305" s="2" t="str" cm="1">
        <f t="array" aca="1" ref="I305" ca="1">_xlfn.IFS(
    ABS(Fuel_prices[[#This Row],[%_change]])&gt;50,"SEVERE IMPACT",
    ABS(Fuel_prices[[#This Row],[%_change]])&gt;25,"HIGH IMPACT",
    ABS(Fuel_prices[[#This Row],[%_change]])&gt;5,"MID IMPACT",
    ABS(Fuel_prices[[#This Row],[%_change]])&lt;=5,"LITTLE IMPACT"
)</f>
        <v>MID IMPACT</v>
      </c>
    </row>
    <row r="306" spans="1:9" x14ac:dyDescent="0.25">
      <c r="A306" s="4">
        <v>34820</v>
      </c>
      <c r="B306" s="6" t="str">
        <f>_xlfn.CONCAT("Q",CEILING(Fuel_prices[[#This Row],[Month]]/3,1))</f>
        <v>Q2</v>
      </c>
      <c r="C306" s="6">
        <f>MONTH(Fuel_prices[[#This Row],[Date]])</f>
        <v>5</v>
      </c>
      <c r="D306" s="6" t="str">
        <f>TEXT(Fuel_prices[[#This Row],[Date]],"mmm")</f>
        <v>May</v>
      </c>
      <c r="E306" s="6">
        <f>YEAR(Fuel_prices[[#This Row],[Date]])</f>
        <v>1995</v>
      </c>
      <c r="F306" s="5">
        <v>18.42333333333</v>
      </c>
      <c r="G306" s="2">
        <f ca="1">ROUND(IFERROR((Fuel_prices[[#This Row],[Crude_Oil_Price]]-OFFSET(Fuel_prices[[#This Row],[Crude_Oil_Price]],-1,0)),0),2)</f>
        <v>-0.22</v>
      </c>
      <c r="H306" s="2">
        <f ca="1">ROUND((IFERROR((Fuel_prices[[#This Row],[Crude_Oil_Price]]-OFFSET(Fuel_prices[[#This Row],[Crude_Oil_Price]],-1,0))/(OFFSET(Fuel_prices[[#This Row],[Crude_Oil_Price]],-1,0)),0))*100,2)</f>
        <v>-1.2</v>
      </c>
      <c r="I306" s="2" t="str" cm="1">
        <f t="array" aca="1" ref="I306" ca="1">_xlfn.IFS(
    ABS(Fuel_prices[[#This Row],[%_change]])&gt;50,"SEVERE IMPACT",
    ABS(Fuel_prices[[#This Row],[%_change]])&gt;25,"HIGH IMPACT",
    ABS(Fuel_prices[[#This Row],[%_change]])&gt;5,"MID IMPACT",
    ABS(Fuel_prices[[#This Row],[%_change]])&lt;=5,"LITTLE IMPACT"
)</f>
        <v>LITTLE IMPACT</v>
      </c>
    </row>
    <row r="307" spans="1:9" x14ac:dyDescent="0.25">
      <c r="A307" s="4">
        <v>34851</v>
      </c>
      <c r="B307" s="6" t="str">
        <f>_xlfn.CONCAT("Q",CEILING(Fuel_prices[[#This Row],[Month]]/3,1))</f>
        <v>Q2</v>
      </c>
      <c r="C307" s="6">
        <f>MONTH(Fuel_prices[[#This Row],[Date]])</f>
        <v>6</v>
      </c>
      <c r="D307" s="6" t="str">
        <f>TEXT(Fuel_prices[[#This Row],[Date]],"mmm")</f>
        <v>Jun</v>
      </c>
      <c r="E307" s="6">
        <f>YEAR(Fuel_prices[[#This Row],[Date]])</f>
        <v>1995</v>
      </c>
      <c r="F307" s="5">
        <v>17.363333333330001</v>
      </c>
      <c r="G307" s="2">
        <f ca="1">ROUND(IFERROR((Fuel_prices[[#This Row],[Crude_Oil_Price]]-OFFSET(Fuel_prices[[#This Row],[Crude_Oil_Price]],-1,0)),0),2)</f>
        <v>-1.06</v>
      </c>
      <c r="H307" s="2">
        <f ca="1">ROUND((IFERROR((Fuel_prices[[#This Row],[Crude_Oil_Price]]-OFFSET(Fuel_prices[[#This Row],[Crude_Oil_Price]],-1,0))/(OFFSET(Fuel_prices[[#This Row],[Crude_Oil_Price]],-1,0)),0))*100,2)</f>
        <v>-5.75</v>
      </c>
      <c r="I307" s="2" t="str" cm="1">
        <f t="array" aca="1" ref="I307" ca="1">_xlfn.IFS(
    ABS(Fuel_prices[[#This Row],[%_change]])&gt;50,"SEVERE IMPACT",
    ABS(Fuel_prices[[#This Row],[%_change]])&gt;25,"HIGH IMPACT",
    ABS(Fuel_prices[[#This Row],[%_change]])&gt;5,"MID IMPACT",
    ABS(Fuel_prices[[#This Row],[%_change]])&lt;=5,"LITTLE IMPACT"
)</f>
        <v>MID IMPACT</v>
      </c>
    </row>
    <row r="308" spans="1:9" x14ac:dyDescent="0.25">
      <c r="A308" s="4">
        <v>34881</v>
      </c>
      <c r="B308" s="6" t="str">
        <f>_xlfn.CONCAT("Q",CEILING(Fuel_prices[[#This Row],[Month]]/3,1))</f>
        <v>Q3</v>
      </c>
      <c r="C308" s="6">
        <f>MONTH(Fuel_prices[[#This Row],[Date]])</f>
        <v>7</v>
      </c>
      <c r="D308" s="6" t="str">
        <f>TEXT(Fuel_prices[[#This Row],[Date]],"mmm")</f>
        <v>Jul</v>
      </c>
      <c r="E308" s="6">
        <f>YEAR(Fuel_prices[[#This Row],[Date]])</f>
        <v>1995</v>
      </c>
      <c r="F308" s="5">
        <v>16.08333333333</v>
      </c>
      <c r="G308" s="2">
        <f ca="1">ROUND(IFERROR((Fuel_prices[[#This Row],[Crude_Oil_Price]]-OFFSET(Fuel_prices[[#This Row],[Crude_Oil_Price]],-1,0)),0),2)</f>
        <v>-1.28</v>
      </c>
      <c r="H308" s="2">
        <f ca="1">ROUND((IFERROR((Fuel_prices[[#This Row],[Crude_Oil_Price]]-OFFSET(Fuel_prices[[#This Row],[Crude_Oil_Price]],-1,0))/(OFFSET(Fuel_prices[[#This Row],[Crude_Oil_Price]],-1,0)),0))*100,2)</f>
        <v>-7.37</v>
      </c>
      <c r="I308" s="2" t="str" cm="1">
        <f t="array" aca="1" ref="I308" ca="1">_xlfn.IFS(
    ABS(Fuel_prices[[#This Row],[%_change]])&gt;50,"SEVERE IMPACT",
    ABS(Fuel_prices[[#This Row],[%_change]])&gt;25,"HIGH IMPACT",
    ABS(Fuel_prices[[#This Row],[%_change]])&gt;5,"MID IMPACT",
    ABS(Fuel_prices[[#This Row],[%_change]])&lt;=5,"LITTLE IMPACT"
)</f>
        <v>MID IMPACT</v>
      </c>
    </row>
    <row r="309" spans="1:9" x14ac:dyDescent="0.25">
      <c r="A309" s="4">
        <v>34912</v>
      </c>
      <c r="B309" s="6" t="str">
        <f>_xlfn.CONCAT("Q",CEILING(Fuel_prices[[#This Row],[Month]]/3,1))</f>
        <v>Q3</v>
      </c>
      <c r="C309" s="6">
        <f>MONTH(Fuel_prices[[#This Row],[Date]])</f>
        <v>8</v>
      </c>
      <c r="D309" s="6" t="str">
        <f>TEXT(Fuel_prices[[#This Row],[Date]],"mmm")</f>
        <v>Aug</v>
      </c>
      <c r="E309" s="6">
        <f>YEAR(Fuel_prices[[#This Row],[Date]])</f>
        <v>1995</v>
      </c>
      <c r="F309" s="5">
        <v>16.466666666670001</v>
      </c>
      <c r="G309" s="2">
        <f ca="1">ROUND(IFERROR((Fuel_prices[[#This Row],[Crude_Oil_Price]]-OFFSET(Fuel_prices[[#This Row],[Crude_Oil_Price]],-1,0)),0),2)</f>
        <v>0.38</v>
      </c>
      <c r="H309" s="2">
        <f ca="1">ROUND((IFERROR((Fuel_prices[[#This Row],[Crude_Oil_Price]]-OFFSET(Fuel_prices[[#This Row],[Crude_Oil_Price]],-1,0))/(OFFSET(Fuel_prices[[#This Row],[Crude_Oil_Price]],-1,0)),0))*100,2)</f>
        <v>2.38</v>
      </c>
      <c r="I309" s="2" t="str" cm="1">
        <f t="array" aca="1" ref="I309" ca="1">_xlfn.IFS(
    ABS(Fuel_prices[[#This Row],[%_change]])&gt;50,"SEVERE IMPACT",
    ABS(Fuel_prices[[#This Row],[%_change]])&gt;25,"HIGH IMPACT",
    ABS(Fuel_prices[[#This Row],[%_change]])&gt;5,"MID IMPACT",
    ABS(Fuel_prices[[#This Row],[%_change]])&lt;=5,"LITTLE IMPACT"
)</f>
        <v>LITTLE IMPACT</v>
      </c>
    </row>
    <row r="310" spans="1:9" x14ac:dyDescent="0.25">
      <c r="A310" s="4">
        <v>34943</v>
      </c>
      <c r="B310" s="6" t="str">
        <f>_xlfn.CONCAT("Q",CEILING(Fuel_prices[[#This Row],[Month]]/3,1))</f>
        <v>Q3</v>
      </c>
      <c r="C310" s="6">
        <f>MONTH(Fuel_prices[[#This Row],[Date]])</f>
        <v>9</v>
      </c>
      <c r="D310" s="6" t="str">
        <f>TEXT(Fuel_prices[[#This Row],[Date]],"mmm")</f>
        <v>Sep</v>
      </c>
      <c r="E310" s="6">
        <f>YEAR(Fuel_prices[[#This Row],[Date]])</f>
        <v>1995</v>
      </c>
      <c r="F310" s="5">
        <v>16.82</v>
      </c>
      <c r="G310" s="2">
        <f ca="1">ROUND(IFERROR((Fuel_prices[[#This Row],[Crude_Oil_Price]]-OFFSET(Fuel_prices[[#This Row],[Crude_Oil_Price]],-1,0)),0),2)</f>
        <v>0.35</v>
      </c>
      <c r="H310" s="2">
        <f ca="1">ROUND((IFERROR((Fuel_prices[[#This Row],[Crude_Oil_Price]]-OFFSET(Fuel_prices[[#This Row],[Crude_Oil_Price]],-1,0))/(OFFSET(Fuel_prices[[#This Row],[Crude_Oil_Price]],-1,0)),0))*100,2)</f>
        <v>2.15</v>
      </c>
      <c r="I310" s="2" t="str" cm="1">
        <f t="array" aca="1" ref="I310" ca="1">_xlfn.IFS(
    ABS(Fuel_prices[[#This Row],[%_change]])&gt;50,"SEVERE IMPACT",
    ABS(Fuel_prices[[#This Row],[%_change]])&gt;25,"HIGH IMPACT",
    ABS(Fuel_prices[[#This Row],[%_change]])&gt;5,"MID IMPACT",
    ABS(Fuel_prices[[#This Row],[%_change]])&lt;=5,"LITTLE IMPACT"
)</f>
        <v>LITTLE IMPACT</v>
      </c>
    </row>
    <row r="311" spans="1:9" x14ac:dyDescent="0.25">
      <c r="A311" s="4">
        <v>34973</v>
      </c>
      <c r="B311" s="6" t="str">
        <f>_xlfn.CONCAT("Q",CEILING(Fuel_prices[[#This Row],[Month]]/3,1))</f>
        <v>Q4</v>
      </c>
      <c r="C311" s="6">
        <f>MONTH(Fuel_prices[[#This Row],[Date]])</f>
        <v>10</v>
      </c>
      <c r="D311" s="6" t="str">
        <f>TEXT(Fuel_prices[[#This Row],[Date]],"mmm")</f>
        <v>Oct</v>
      </c>
      <c r="E311" s="6">
        <f>YEAR(Fuel_prices[[#This Row],[Date]])</f>
        <v>1995</v>
      </c>
      <c r="F311" s="5">
        <v>16.123333333329999</v>
      </c>
      <c r="G311" s="2">
        <f ca="1">ROUND(IFERROR((Fuel_prices[[#This Row],[Crude_Oil_Price]]-OFFSET(Fuel_prices[[#This Row],[Crude_Oil_Price]],-1,0)),0),2)</f>
        <v>-0.7</v>
      </c>
      <c r="H311" s="2">
        <f ca="1">ROUND((IFERROR((Fuel_prices[[#This Row],[Crude_Oil_Price]]-OFFSET(Fuel_prices[[#This Row],[Crude_Oil_Price]],-1,0))/(OFFSET(Fuel_prices[[#This Row],[Crude_Oil_Price]],-1,0)),0))*100,2)</f>
        <v>-4.1399999999999997</v>
      </c>
      <c r="I311" s="2" t="str" cm="1">
        <f t="array" aca="1" ref="I311" ca="1">_xlfn.IFS(
    ABS(Fuel_prices[[#This Row],[%_change]])&gt;50,"SEVERE IMPACT",
    ABS(Fuel_prices[[#This Row],[%_change]])&gt;25,"HIGH IMPACT",
    ABS(Fuel_prices[[#This Row],[%_change]])&gt;5,"MID IMPACT",
    ABS(Fuel_prices[[#This Row],[%_change]])&lt;=5,"LITTLE IMPACT"
)</f>
        <v>LITTLE IMPACT</v>
      </c>
    </row>
    <row r="312" spans="1:9" x14ac:dyDescent="0.25">
      <c r="A312" s="4">
        <v>35004</v>
      </c>
      <c r="B312" s="6" t="str">
        <f>_xlfn.CONCAT("Q",CEILING(Fuel_prices[[#This Row],[Month]]/3,1))</f>
        <v>Q4</v>
      </c>
      <c r="C312" s="6">
        <f>MONTH(Fuel_prices[[#This Row],[Date]])</f>
        <v>11</v>
      </c>
      <c r="D312" s="6" t="str">
        <f>TEXT(Fuel_prices[[#This Row],[Date]],"mmm")</f>
        <v>Nov</v>
      </c>
      <c r="E312" s="6">
        <f>YEAR(Fuel_prices[[#This Row],[Date]])</f>
        <v>1995</v>
      </c>
      <c r="F312" s="5">
        <v>16.74333333333</v>
      </c>
      <c r="G312" s="2">
        <f ca="1">ROUND(IFERROR((Fuel_prices[[#This Row],[Crude_Oil_Price]]-OFFSET(Fuel_prices[[#This Row],[Crude_Oil_Price]],-1,0)),0),2)</f>
        <v>0.62</v>
      </c>
      <c r="H312" s="2">
        <f ca="1">ROUND((IFERROR((Fuel_prices[[#This Row],[Crude_Oil_Price]]-OFFSET(Fuel_prices[[#This Row],[Crude_Oil_Price]],-1,0))/(OFFSET(Fuel_prices[[#This Row],[Crude_Oil_Price]],-1,0)),0))*100,2)</f>
        <v>3.85</v>
      </c>
      <c r="I312" s="2" t="str" cm="1">
        <f t="array" aca="1" ref="I312" ca="1">_xlfn.IFS(
    ABS(Fuel_prices[[#This Row],[%_change]])&gt;50,"SEVERE IMPACT",
    ABS(Fuel_prices[[#This Row],[%_change]])&gt;25,"HIGH IMPACT",
    ABS(Fuel_prices[[#This Row],[%_change]])&gt;5,"MID IMPACT",
    ABS(Fuel_prices[[#This Row],[%_change]])&lt;=5,"LITTLE IMPACT"
)</f>
        <v>LITTLE IMPACT</v>
      </c>
    </row>
    <row r="313" spans="1:9" x14ac:dyDescent="0.25">
      <c r="A313" s="4">
        <v>35034</v>
      </c>
      <c r="B313" s="6" t="str">
        <f>_xlfn.CONCAT("Q",CEILING(Fuel_prices[[#This Row],[Month]]/3,1))</f>
        <v>Q4</v>
      </c>
      <c r="C313" s="6">
        <f>MONTH(Fuel_prices[[#This Row],[Date]])</f>
        <v>12</v>
      </c>
      <c r="D313" s="6" t="str">
        <f>TEXT(Fuel_prices[[#This Row],[Date]],"mmm")</f>
        <v>Dec</v>
      </c>
      <c r="E313" s="6">
        <f>YEAR(Fuel_prices[[#This Row],[Date]])</f>
        <v>1995</v>
      </c>
      <c r="F313" s="5">
        <v>17.86666666667</v>
      </c>
      <c r="G313" s="2">
        <f ca="1">ROUND(IFERROR((Fuel_prices[[#This Row],[Crude_Oil_Price]]-OFFSET(Fuel_prices[[#This Row],[Crude_Oil_Price]],-1,0)),0),2)</f>
        <v>1.1200000000000001</v>
      </c>
      <c r="H313" s="2">
        <f ca="1">ROUND((IFERROR((Fuel_prices[[#This Row],[Crude_Oil_Price]]-OFFSET(Fuel_prices[[#This Row],[Crude_Oil_Price]],-1,0))/(OFFSET(Fuel_prices[[#This Row],[Crude_Oil_Price]],-1,0)),0))*100,2)</f>
        <v>6.71</v>
      </c>
      <c r="I313" s="2" t="str" cm="1">
        <f t="array" aca="1" ref="I313" ca="1">_xlfn.IFS(
    ABS(Fuel_prices[[#This Row],[%_change]])&gt;50,"SEVERE IMPACT",
    ABS(Fuel_prices[[#This Row],[%_change]])&gt;25,"HIGH IMPACT",
    ABS(Fuel_prices[[#This Row],[%_change]])&gt;5,"MID IMPACT",
    ABS(Fuel_prices[[#This Row],[%_change]])&lt;=5,"LITTLE IMPACT"
)</f>
        <v>MID IMPACT</v>
      </c>
    </row>
    <row r="314" spans="1:9" x14ac:dyDescent="0.25">
      <c r="A314" s="4">
        <v>35065</v>
      </c>
      <c r="B314" s="6" t="str">
        <f>_xlfn.CONCAT("Q",CEILING(Fuel_prices[[#This Row],[Month]]/3,1))</f>
        <v>Q1</v>
      </c>
      <c r="C314" s="6">
        <f>MONTH(Fuel_prices[[#This Row],[Date]])</f>
        <v>1</v>
      </c>
      <c r="D314" s="6" t="str">
        <f>TEXT(Fuel_prices[[#This Row],[Date]],"mmm")</f>
        <v>Jan</v>
      </c>
      <c r="E314" s="6">
        <f>YEAR(Fuel_prices[[#This Row],[Date]])</f>
        <v>1996</v>
      </c>
      <c r="F314" s="5">
        <v>17.8</v>
      </c>
      <c r="G314" s="2">
        <f ca="1">ROUND(IFERROR((Fuel_prices[[#This Row],[Crude_Oil_Price]]-OFFSET(Fuel_prices[[#This Row],[Crude_Oil_Price]],-1,0)),0),2)</f>
        <v>-7.0000000000000007E-2</v>
      </c>
      <c r="H314" s="2">
        <f ca="1">ROUND((IFERROR((Fuel_prices[[#This Row],[Crude_Oil_Price]]-OFFSET(Fuel_prices[[#This Row],[Crude_Oil_Price]],-1,0))/(OFFSET(Fuel_prices[[#This Row],[Crude_Oil_Price]],-1,0)),0))*100,2)</f>
        <v>-0.37</v>
      </c>
      <c r="I314" s="2" t="str" cm="1">
        <f t="array" aca="1" ref="I314" ca="1">_xlfn.IFS(
    ABS(Fuel_prices[[#This Row],[%_change]])&gt;50,"SEVERE IMPACT",
    ABS(Fuel_prices[[#This Row],[%_change]])&gt;25,"HIGH IMPACT",
    ABS(Fuel_prices[[#This Row],[%_change]])&gt;5,"MID IMPACT",
    ABS(Fuel_prices[[#This Row],[%_change]])&lt;=5,"LITTLE IMPACT"
)</f>
        <v>LITTLE IMPACT</v>
      </c>
    </row>
    <row r="315" spans="1:9" x14ac:dyDescent="0.25">
      <c r="A315" s="4">
        <v>35096</v>
      </c>
      <c r="B315" s="6" t="str">
        <f>_xlfn.CONCAT("Q",CEILING(Fuel_prices[[#This Row],[Month]]/3,1))</f>
        <v>Q1</v>
      </c>
      <c r="C315" s="6">
        <f>MONTH(Fuel_prices[[#This Row],[Date]])</f>
        <v>2</v>
      </c>
      <c r="D315" s="6" t="str">
        <f>TEXT(Fuel_prices[[#This Row],[Date]],"mmm")</f>
        <v>Feb</v>
      </c>
      <c r="E315" s="6">
        <f>YEAR(Fuel_prices[[#This Row],[Date]])</f>
        <v>1996</v>
      </c>
      <c r="F315" s="5">
        <v>17.696666666670001</v>
      </c>
      <c r="G315" s="2">
        <f ca="1">ROUND(IFERROR((Fuel_prices[[#This Row],[Crude_Oil_Price]]-OFFSET(Fuel_prices[[#This Row],[Crude_Oil_Price]],-1,0)),0),2)</f>
        <v>-0.1</v>
      </c>
      <c r="H315" s="2">
        <f ca="1">ROUND((IFERROR((Fuel_prices[[#This Row],[Crude_Oil_Price]]-OFFSET(Fuel_prices[[#This Row],[Crude_Oil_Price]],-1,0))/(OFFSET(Fuel_prices[[#This Row],[Crude_Oil_Price]],-1,0)),0))*100,2)</f>
        <v>-0.57999999999999996</v>
      </c>
      <c r="I315" s="2" t="str" cm="1">
        <f t="array" aca="1" ref="I315" ca="1">_xlfn.IFS(
    ABS(Fuel_prices[[#This Row],[%_change]])&gt;50,"SEVERE IMPACT",
    ABS(Fuel_prices[[#This Row],[%_change]])&gt;25,"HIGH IMPACT",
    ABS(Fuel_prices[[#This Row],[%_change]])&gt;5,"MID IMPACT",
    ABS(Fuel_prices[[#This Row],[%_change]])&lt;=5,"LITTLE IMPACT"
)</f>
        <v>LITTLE IMPACT</v>
      </c>
    </row>
    <row r="316" spans="1:9" x14ac:dyDescent="0.25">
      <c r="A316" s="4">
        <v>35125</v>
      </c>
      <c r="B316" s="6" t="str">
        <f>_xlfn.CONCAT("Q",CEILING(Fuel_prices[[#This Row],[Month]]/3,1))</f>
        <v>Q1</v>
      </c>
      <c r="C316" s="6">
        <f>MONTH(Fuel_prices[[#This Row],[Date]])</f>
        <v>3</v>
      </c>
      <c r="D316" s="6" t="str">
        <f>TEXT(Fuel_prices[[#This Row],[Date]],"mmm")</f>
        <v>Mar</v>
      </c>
      <c r="E316" s="6">
        <f>YEAR(Fuel_prices[[#This Row],[Date]])</f>
        <v>1996</v>
      </c>
      <c r="F316" s="5">
        <v>19.399999999999999</v>
      </c>
      <c r="G316" s="2">
        <f ca="1">ROUND(IFERROR((Fuel_prices[[#This Row],[Crude_Oil_Price]]-OFFSET(Fuel_prices[[#This Row],[Crude_Oil_Price]],-1,0)),0),2)</f>
        <v>1.7</v>
      </c>
      <c r="H316" s="2">
        <f ca="1">ROUND((IFERROR((Fuel_prices[[#This Row],[Crude_Oil_Price]]-OFFSET(Fuel_prices[[#This Row],[Crude_Oil_Price]],-1,0))/(OFFSET(Fuel_prices[[#This Row],[Crude_Oil_Price]],-1,0)),0))*100,2)</f>
        <v>9.6300000000000008</v>
      </c>
      <c r="I316" s="2" t="str" cm="1">
        <f t="array" aca="1" ref="I316" ca="1">_xlfn.IFS(
    ABS(Fuel_prices[[#This Row],[%_change]])&gt;50,"SEVERE IMPACT",
    ABS(Fuel_prices[[#This Row],[%_change]])&gt;25,"HIGH IMPACT",
    ABS(Fuel_prices[[#This Row],[%_change]])&gt;5,"MID IMPACT",
    ABS(Fuel_prices[[#This Row],[%_change]])&lt;=5,"LITTLE IMPACT"
)</f>
        <v>MID IMPACT</v>
      </c>
    </row>
    <row r="317" spans="1:9" x14ac:dyDescent="0.25">
      <c r="A317" s="4">
        <v>35156</v>
      </c>
      <c r="B317" s="6" t="str">
        <f>_xlfn.CONCAT("Q",CEILING(Fuel_prices[[#This Row],[Month]]/3,1))</f>
        <v>Q2</v>
      </c>
      <c r="C317" s="6">
        <f>MONTH(Fuel_prices[[#This Row],[Date]])</f>
        <v>4</v>
      </c>
      <c r="D317" s="6" t="str">
        <f>TEXT(Fuel_prices[[#This Row],[Date]],"mmm")</f>
        <v>Apr</v>
      </c>
      <c r="E317" s="6">
        <f>YEAR(Fuel_prices[[#This Row],[Date]])</f>
        <v>1996</v>
      </c>
      <c r="F317" s="5">
        <v>20.66</v>
      </c>
      <c r="G317" s="2">
        <f ca="1">ROUND(IFERROR((Fuel_prices[[#This Row],[Crude_Oil_Price]]-OFFSET(Fuel_prices[[#This Row],[Crude_Oil_Price]],-1,0)),0),2)</f>
        <v>1.26</v>
      </c>
      <c r="H317" s="2">
        <f ca="1">ROUND((IFERROR((Fuel_prices[[#This Row],[Crude_Oil_Price]]-OFFSET(Fuel_prices[[#This Row],[Crude_Oil_Price]],-1,0))/(OFFSET(Fuel_prices[[#This Row],[Crude_Oil_Price]],-1,0)),0))*100,2)</f>
        <v>6.49</v>
      </c>
      <c r="I317" s="2" t="str" cm="1">
        <f t="array" aca="1" ref="I317" ca="1">_xlfn.IFS(
    ABS(Fuel_prices[[#This Row],[%_change]])&gt;50,"SEVERE IMPACT",
    ABS(Fuel_prices[[#This Row],[%_change]])&gt;25,"HIGH IMPACT",
    ABS(Fuel_prices[[#This Row],[%_change]])&gt;5,"MID IMPACT",
    ABS(Fuel_prices[[#This Row],[%_change]])&lt;=5,"LITTLE IMPACT"
)</f>
        <v>MID IMPACT</v>
      </c>
    </row>
    <row r="318" spans="1:9" x14ac:dyDescent="0.25">
      <c r="A318" s="4">
        <v>35186</v>
      </c>
      <c r="B318" s="6" t="str">
        <f>_xlfn.CONCAT("Q",CEILING(Fuel_prices[[#This Row],[Month]]/3,1))</f>
        <v>Q2</v>
      </c>
      <c r="C318" s="6">
        <f>MONTH(Fuel_prices[[#This Row],[Date]])</f>
        <v>5</v>
      </c>
      <c r="D318" s="6" t="str">
        <f>TEXT(Fuel_prices[[#This Row],[Date]],"mmm")</f>
        <v>May</v>
      </c>
      <c r="E318" s="6">
        <f>YEAR(Fuel_prices[[#This Row],[Date]])</f>
        <v>1996</v>
      </c>
      <c r="F318" s="5">
        <v>19.06333333333</v>
      </c>
      <c r="G318" s="2">
        <f ca="1">ROUND(IFERROR((Fuel_prices[[#This Row],[Crude_Oil_Price]]-OFFSET(Fuel_prices[[#This Row],[Crude_Oil_Price]],-1,0)),0),2)</f>
        <v>-1.6</v>
      </c>
      <c r="H318" s="2">
        <f ca="1">ROUND((IFERROR((Fuel_prices[[#This Row],[Crude_Oil_Price]]-OFFSET(Fuel_prices[[#This Row],[Crude_Oil_Price]],-1,0))/(OFFSET(Fuel_prices[[#This Row],[Crude_Oil_Price]],-1,0)),0))*100,2)</f>
        <v>-7.73</v>
      </c>
      <c r="I318" s="2" t="str" cm="1">
        <f t="array" aca="1" ref="I318" ca="1">_xlfn.IFS(
    ABS(Fuel_prices[[#This Row],[%_change]])&gt;50,"SEVERE IMPACT",
    ABS(Fuel_prices[[#This Row],[%_change]])&gt;25,"HIGH IMPACT",
    ABS(Fuel_prices[[#This Row],[%_change]])&gt;5,"MID IMPACT",
    ABS(Fuel_prices[[#This Row],[%_change]])&lt;=5,"LITTLE IMPACT"
)</f>
        <v>MID IMPACT</v>
      </c>
    </row>
    <row r="319" spans="1:9" x14ac:dyDescent="0.25">
      <c r="A319" s="4">
        <v>35217</v>
      </c>
      <c r="B319" s="6" t="str">
        <f>_xlfn.CONCAT("Q",CEILING(Fuel_prices[[#This Row],[Month]]/3,1))</f>
        <v>Q2</v>
      </c>
      <c r="C319" s="6">
        <f>MONTH(Fuel_prices[[#This Row],[Date]])</f>
        <v>6</v>
      </c>
      <c r="D319" s="6" t="str">
        <f>TEXT(Fuel_prices[[#This Row],[Date]],"mmm")</f>
        <v>Jun</v>
      </c>
      <c r="E319" s="6">
        <f>YEAR(Fuel_prices[[#This Row],[Date]])</f>
        <v>1996</v>
      </c>
      <c r="F319" s="5">
        <v>18.513333333329999</v>
      </c>
      <c r="G319" s="2">
        <f ca="1">ROUND(IFERROR((Fuel_prices[[#This Row],[Crude_Oil_Price]]-OFFSET(Fuel_prices[[#This Row],[Crude_Oil_Price]],-1,0)),0),2)</f>
        <v>-0.55000000000000004</v>
      </c>
      <c r="H319" s="2">
        <f ca="1">ROUND((IFERROR((Fuel_prices[[#This Row],[Crude_Oil_Price]]-OFFSET(Fuel_prices[[#This Row],[Crude_Oil_Price]],-1,0))/(OFFSET(Fuel_prices[[#This Row],[Crude_Oil_Price]],-1,0)),0))*100,2)</f>
        <v>-2.89</v>
      </c>
      <c r="I319" s="2" t="str" cm="1">
        <f t="array" aca="1" ref="I319" ca="1">_xlfn.IFS(
    ABS(Fuel_prices[[#This Row],[%_change]])&gt;50,"SEVERE IMPACT",
    ABS(Fuel_prices[[#This Row],[%_change]])&gt;25,"HIGH IMPACT",
    ABS(Fuel_prices[[#This Row],[%_change]])&gt;5,"MID IMPACT",
    ABS(Fuel_prices[[#This Row],[%_change]])&lt;=5,"LITTLE IMPACT"
)</f>
        <v>LITTLE IMPACT</v>
      </c>
    </row>
    <row r="320" spans="1:9" x14ac:dyDescent="0.25">
      <c r="A320" s="4">
        <v>35247</v>
      </c>
      <c r="B320" s="6" t="str">
        <f>_xlfn.CONCAT("Q",CEILING(Fuel_prices[[#This Row],[Month]]/3,1))</f>
        <v>Q3</v>
      </c>
      <c r="C320" s="6">
        <f>MONTH(Fuel_prices[[#This Row],[Date]])</f>
        <v>7</v>
      </c>
      <c r="D320" s="6" t="str">
        <f>TEXT(Fuel_prices[[#This Row],[Date]],"mmm")</f>
        <v>Jul</v>
      </c>
      <c r="E320" s="6">
        <f>YEAR(Fuel_prices[[#This Row],[Date]])</f>
        <v>1996</v>
      </c>
      <c r="F320" s="5">
        <v>19.586666666669998</v>
      </c>
      <c r="G320" s="2">
        <f ca="1">ROUND(IFERROR((Fuel_prices[[#This Row],[Crude_Oil_Price]]-OFFSET(Fuel_prices[[#This Row],[Crude_Oil_Price]],-1,0)),0),2)</f>
        <v>1.07</v>
      </c>
      <c r="H320" s="2">
        <f ca="1">ROUND((IFERROR((Fuel_prices[[#This Row],[Crude_Oil_Price]]-OFFSET(Fuel_prices[[#This Row],[Crude_Oil_Price]],-1,0))/(OFFSET(Fuel_prices[[#This Row],[Crude_Oil_Price]],-1,0)),0))*100,2)</f>
        <v>5.8</v>
      </c>
      <c r="I320" s="2" t="str" cm="1">
        <f t="array" aca="1" ref="I320" ca="1">_xlfn.IFS(
    ABS(Fuel_prices[[#This Row],[%_change]])&gt;50,"SEVERE IMPACT",
    ABS(Fuel_prices[[#This Row],[%_change]])&gt;25,"HIGH IMPACT",
    ABS(Fuel_prices[[#This Row],[%_change]])&gt;5,"MID IMPACT",
    ABS(Fuel_prices[[#This Row],[%_change]])&lt;=5,"LITTLE IMPACT"
)</f>
        <v>MID IMPACT</v>
      </c>
    </row>
    <row r="321" spans="1:9" x14ac:dyDescent="0.25">
      <c r="A321" s="4">
        <v>35278</v>
      </c>
      <c r="B321" s="6" t="str">
        <f>_xlfn.CONCAT("Q",CEILING(Fuel_prices[[#This Row],[Month]]/3,1))</f>
        <v>Q3</v>
      </c>
      <c r="C321" s="6">
        <f>MONTH(Fuel_prices[[#This Row],[Date]])</f>
        <v>8</v>
      </c>
      <c r="D321" s="6" t="str">
        <f>TEXT(Fuel_prices[[#This Row],[Date]],"mmm")</f>
        <v>Aug</v>
      </c>
      <c r="E321" s="6">
        <f>YEAR(Fuel_prices[[#This Row],[Date]])</f>
        <v>1996</v>
      </c>
      <c r="F321" s="5">
        <v>20.440000000000001</v>
      </c>
      <c r="G321" s="2">
        <f ca="1">ROUND(IFERROR((Fuel_prices[[#This Row],[Crude_Oil_Price]]-OFFSET(Fuel_prices[[#This Row],[Crude_Oil_Price]],-1,0)),0),2)</f>
        <v>0.85</v>
      </c>
      <c r="H321" s="2">
        <f ca="1">ROUND((IFERROR((Fuel_prices[[#This Row],[Crude_Oil_Price]]-OFFSET(Fuel_prices[[#This Row],[Crude_Oil_Price]],-1,0))/(OFFSET(Fuel_prices[[#This Row],[Crude_Oil_Price]],-1,0)),0))*100,2)</f>
        <v>4.3600000000000003</v>
      </c>
      <c r="I321" s="2" t="str" cm="1">
        <f t="array" aca="1" ref="I321" ca="1">_xlfn.IFS(
    ABS(Fuel_prices[[#This Row],[%_change]])&gt;50,"SEVERE IMPACT",
    ABS(Fuel_prices[[#This Row],[%_change]])&gt;25,"HIGH IMPACT",
    ABS(Fuel_prices[[#This Row],[%_change]])&gt;5,"MID IMPACT",
    ABS(Fuel_prices[[#This Row],[%_change]])&lt;=5,"LITTLE IMPACT"
)</f>
        <v>LITTLE IMPACT</v>
      </c>
    </row>
    <row r="322" spans="1:9" x14ac:dyDescent="0.25">
      <c r="A322" s="4">
        <v>35309</v>
      </c>
      <c r="B322" s="6" t="str">
        <f>_xlfn.CONCAT("Q",CEILING(Fuel_prices[[#This Row],[Month]]/3,1))</f>
        <v>Q3</v>
      </c>
      <c r="C322" s="6">
        <f>MONTH(Fuel_prices[[#This Row],[Date]])</f>
        <v>9</v>
      </c>
      <c r="D322" s="6" t="str">
        <f>TEXT(Fuel_prices[[#This Row],[Date]],"mmm")</f>
        <v>Sep</v>
      </c>
      <c r="E322" s="6">
        <f>YEAR(Fuel_prices[[#This Row],[Date]])</f>
        <v>1996</v>
      </c>
      <c r="F322" s="5">
        <v>22.25666666667</v>
      </c>
      <c r="G322" s="2">
        <f ca="1">ROUND(IFERROR((Fuel_prices[[#This Row],[Crude_Oil_Price]]-OFFSET(Fuel_prices[[#This Row],[Crude_Oil_Price]],-1,0)),0),2)</f>
        <v>1.82</v>
      </c>
      <c r="H322" s="2">
        <f ca="1">ROUND((IFERROR((Fuel_prices[[#This Row],[Crude_Oil_Price]]-OFFSET(Fuel_prices[[#This Row],[Crude_Oil_Price]],-1,0))/(OFFSET(Fuel_prices[[#This Row],[Crude_Oil_Price]],-1,0)),0))*100,2)</f>
        <v>8.89</v>
      </c>
      <c r="I322" s="2" t="str" cm="1">
        <f t="array" aca="1" ref="I322" ca="1">_xlfn.IFS(
    ABS(Fuel_prices[[#This Row],[%_change]])&gt;50,"SEVERE IMPACT",
    ABS(Fuel_prices[[#This Row],[%_change]])&gt;25,"HIGH IMPACT",
    ABS(Fuel_prices[[#This Row],[%_change]])&gt;5,"MID IMPACT",
    ABS(Fuel_prices[[#This Row],[%_change]])&lt;=5,"LITTLE IMPACT"
)</f>
        <v>MID IMPACT</v>
      </c>
    </row>
    <row r="323" spans="1:9" x14ac:dyDescent="0.25">
      <c r="A323" s="4">
        <v>35339</v>
      </c>
      <c r="B323" s="6" t="str">
        <f>_xlfn.CONCAT("Q",CEILING(Fuel_prices[[#This Row],[Month]]/3,1))</f>
        <v>Q4</v>
      </c>
      <c r="C323" s="6">
        <f>MONTH(Fuel_prices[[#This Row],[Date]])</f>
        <v>10</v>
      </c>
      <c r="D323" s="6" t="str">
        <f>TEXT(Fuel_prices[[#This Row],[Date]],"mmm")</f>
        <v>Oct</v>
      </c>
      <c r="E323" s="6">
        <f>YEAR(Fuel_prices[[#This Row],[Date]])</f>
        <v>1996</v>
      </c>
      <c r="F323" s="5">
        <v>23.61</v>
      </c>
      <c r="G323" s="2">
        <f ca="1">ROUND(IFERROR((Fuel_prices[[#This Row],[Crude_Oil_Price]]-OFFSET(Fuel_prices[[#This Row],[Crude_Oil_Price]],-1,0)),0),2)</f>
        <v>1.35</v>
      </c>
      <c r="H323" s="2">
        <f ca="1">ROUND((IFERROR((Fuel_prices[[#This Row],[Crude_Oil_Price]]-OFFSET(Fuel_prices[[#This Row],[Crude_Oil_Price]],-1,0))/(OFFSET(Fuel_prices[[#This Row],[Crude_Oil_Price]],-1,0)),0))*100,2)</f>
        <v>6.08</v>
      </c>
      <c r="I323" s="2" t="str" cm="1">
        <f t="array" aca="1" ref="I323" ca="1">_xlfn.IFS(
    ABS(Fuel_prices[[#This Row],[%_change]])&gt;50,"SEVERE IMPACT",
    ABS(Fuel_prices[[#This Row],[%_change]])&gt;25,"HIGH IMPACT",
    ABS(Fuel_prices[[#This Row],[%_change]])&gt;5,"MID IMPACT",
    ABS(Fuel_prices[[#This Row],[%_change]])&lt;=5,"LITTLE IMPACT"
)</f>
        <v>MID IMPACT</v>
      </c>
    </row>
    <row r="324" spans="1:9" x14ac:dyDescent="0.25">
      <c r="A324" s="4">
        <v>35370</v>
      </c>
      <c r="B324" s="6" t="str">
        <f>_xlfn.CONCAT("Q",CEILING(Fuel_prices[[#This Row],[Month]]/3,1))</f>
        <v>Q4</v>
      </c>
      <c r="C324" s="6">
        <f>MONTH(Fuel_prices[[#This Row],[Date]])</f>
        <v>11</v>
      </c>
      <c r="D324" s="6" t="str">
        <f>TEXT(Fuel_prices[[#This Row],[Date]],"mmm")</f>
        <v>Nov</v>
      </c>
      <c r="E324" s="6">
        <f>YEAR(Fuel_prices[[#This Row],[Date]])</f>
        <v>1996</v>
      </c>
      <c r="F324" s="5">
        <v>22.39</v>
      </c>
      <c r="G324" s="2">
        <f ca="1">ROUND(IFERROR((Fuel_prices[[#This Row],[Crude_Oil_Price]]-OFFSET(Fuel_prices[[#This Row],[Crude_Oil_Price]],-1,0)),0),2)</f>
        <v>-1.22</v>
      </c>
      <c r="H324" s="2">
        <f ca="1">ROUND((IFERROR((Fuel_prices[[#This Row],[Crude_Oil_Price]]-OFFSET(Fuel_prices[[#This Row],[Crude_Oil_Price]],-1,0))/(OFFSET(Fuel_prices[[#This Row],[Crude_Oil_Price]],-1,0)),0))*100,2)</f>
        <v>-5.17</v>
      </c>
      <c r="I324" s="2" t="str" cm="1">
        <f t="array" aca="1" ref="I324" ca="1">_xlfn.IFS(
    ABS(Fuel_prices[[#This Row],[%_change]])&gt;50,"SEVERE IMPACT",
    ABS(Fuel_prices[[#This Row],[%_change]])&gt;25,"HIGH IMPACT",
    ABS(Fuel_prices[[#This Row],[%_change]])&gt;5,"MID IMPACT",
    ABS(Fuel_prices[[#This Row],[%_change]])&lt;=5,"LITTLE IMPACT"
)</f>
        <v>MID IMPACT</v>
      </c>
    </row>
    <row r="325" spans="1:9" x14ac:dyDescent="0.25">
      <c r="A325" s="4">
        <v>35400</v>
      </c>
      <c r="B325" s="6" t="str">
        <f>_xlfn.CONCAT("Q",CEILING(Fuel_prices[[#This Row],[Month]]/3,1))</f>
        <v>Q4</v>
      </c>
      <c r="C325" s="6">
        <f>MONTH(Fuel_prices[[#This Row],[Date]])</f>
        <v>12</v>
      </c>
      <c r="D325" s="6" t="str">
        <f>TEXT(Fuel_prices[[#This Row],[Date]],"mmm")</f>
        <v>Dec</v>
      </c>
      <c r="E325" s="6">
        <f>YEAR(Fuel_prices[[#This Row],[Date]])</f>
        <v>1996</v>
      </c>
      <c r="F325" s="5">
        <v>23.623333333329999</v>
      </c>
      <c r="G325" s="2">
        <f ca="1">ROUND(IFERROR((Fuel_prices[[#This Row],[Crude_Oil_Price]]-OFFSET(Fuel_prices[[#This Row],[Crude_Oil_Price]],-1,0)),0),2)</f>
        <v>1.23</v>
      </c>
      <c r="H325" s="2">
        <f ca="1">ROUND((IFERROR((Fuel_prices[[#This Row],[Crude_Oil_Price]]-OFFSET(Fuel_prices[[#This Row],[Crude_Oil_Price]],-1,0))/(OFFSET(Fuel_prices[[#This Row],[Crude_Oil_Price]],-1,0)),0))*100,2)</f>
        <v>5.51</v>
      </c>
      <c r="I325" s="2" t="str" cm="1">
        <f t="array" aca="1" ref="I325" ca="1">_xlfn.IFS(
    ABS(Fuel_prices[[#This Row],[%_change]])&gt;50,"SEVERE IMPACT",
    ABS(Fuel_prices[[#This Row],[%_change]])&gt;25,"HIGH IMPACT",
    ABS(Fuel_prices[[#This Row],[%_change]])&gt;5,"MID IMPACT",
    ABS(Fuel_prices[[#This Row],[%_change]])&lt;=5,"LITTLE IMPACT"
)</f>
        <v>MID IMPACT</v>
      </c>
    </row>
    <row r="326" spans="1:9" x14ac:dyDescent="0.25">
      <c r="A326" s="4">
        <v>35431</v>
      </c>
      <c r="B326" s="6" t="str">
        <f>_xlfn.CONCAT("Q",CEILING(Fuel_prices[[#This Row],[Month]]/3,1))</f>
        <v>Q1</v>
      </c>
      <c r="C326" s="6">
        <f>MONTH(Fuel_prices[[#This Row],[Date]])</f>
        <v>1</v>
      </c>
      <c r="D326" s="6" t="str">
        <f>TEXT(Fuel_prices[[#This Row],[Date]],"mmm")</f>
        <v>Jan</v>
      </c>
      <c r="E326" s="6">
        <f>YEAR(Fuel_prices[[#This Row],[Date]])</f>
        <v>1997</v>
      </c>
      <c r="F326" s="5">
        <v>23.226666666669999</v>
      </c>
      <c r="G326" s="2">
        <f ca="1">ROUND(IFERROR((Fuel_prices[[#This Row],[Crude_Oil_Price]]-OFFSET(Fuel_prices[[#This Row],[Crude_Oil_Price]],-1,0)),0),2)</f>
        <v>-0.4</v>
      </c>
      <c r="H326" s="2">
        <f ca="1">ROUND((IFERROR((Fuel_prices[[#This Row],[Crude_Oil_Price]]-OFFSET(Fuel_prices[[#This Row],[Crude_Oil_Price]],-1,0))/(OFFSET(Fuel_prices[[#This Row],[Crude_Oil_Price]],-1,0)),0))*100,2)</f>
        <v>-1.68</v>
      </c>
      <c r="I326" s="2" t="str" cm="1">
        <f t="array" aca="1" ref="I326" ca="1">_xlfn.IFS(
    ABS(Fuel_prices[[#This Row],[%_change]])&gt;50,"SEVERE IMPACT",
    ABS(Fuel_prices[[#This Row],[%_change]])&gt;25,"HIGH IMPACT",
    ABS(Fuel_prices[[#This Row],[%_change]])&gt;5,"MID IMPACT",
    ABS(Fuel_prices[[#This Row],[%_change]])&lt;=5,"LITTLE IMPACT"
)</f>
        <v>LITTLE IMPACT</v>
      </c>
    </row>
    <row r="327" spans="1:9" x14ac:dyDescent="0.25">
      <c r="A327" s="4">
        <v>35462</v>
      </c>
      <c r="B327" s="6" t="str">
        <f>_xlfn.CONCAT("Q",CEILING(Fuel_prices[[#This Row],[Month]]/3,1))</f>
        <v>Q1</v>
      </c>
      <c r="C327" s="6">
        <f>MONTH(Fuel_prices[[#This Row],[Date]])</f>
        <v>2</v>
      </c>
      <c r="D327" s="6" t="str">
        <f>TEXT(Fuel_prices[[#This Row],[Date]],"mmm")</f>
        <v>Feb</v>
      </c>
      <c r="E327" s="6">
        <f>YEAR(Fuel_prices[[#This Row],[Date]])</f>
        <v>1997</v>
      </c>
      <c r="F327" s="5">
        <v>20.420000000000002</v>
      </c>
      <c r="G327" s="2">
        <f ca="1">ROUND(IFERROR((Fuel_prices[[#This Row],[Crude_Oil_Price]]-OFFSET(Fuel_prices[[#This Row],[Crude_Oil_Price]],-1,0)),0),2)</f>
        <v>-2.81</v>
      </c>
      <c r="H327" s="2">
        <f ca="1">ROUND((IFERROR((Fuel_prices[[#This Row],[Crude_Oil_Price]]-OFFSET(Fuel_prices[[#This Row],[Crude_Oil_Price]],-1,0))/(OFFSET(Fuel_prices[[#This Row],[Crude_Oil_Price]],-1,0)),0))*100,2)</f>
        <v>-12.08</v>
      </c>
      <c r="I327" s="2" t="str" cm="1">
        <f t="array" aca="1" ref="I327" ca="1">_xlfn.IFS(
    ABS(Fuel_prices[[#This Row],[%_change]])&gt;50,"SEVERE IMPACT",
    ABS(Fuel_prices[[#This Row],[%_change]])&gt;25,"HIGH IMPACT",
    ABS(Fuel_prices[[#This Row],[%_change]])&gt;5,"MID IMPACT",
    ABS(Fuel_prices[[#This Row],[%_change]])&lt;=5,"LITTLE IMPACT"
)</f>
        <v>MID IMPACT</v>
      </c>
    </row>
    <row r="328" spans="1:9" x14ac:dyDescent="0.25">
      <c r="A328" s="4">
        <v>35490</v>
      </c>
      <c r="B328" s="6" t="str">
        <f>_xlfn.CONCAT("Q",CEILING(Fuel_prices[[#This Row],[Month]]/3,1))</f>
        <v>Q1</v>
      </c>
      <c r="C328" s="6">
        <f>MONTH(Fuel_prices[[#This Row],[Date]])</f>
        <v>3</v>
      </c>
      <c r="D328" s="6" t="str">
        <f>TEXT(Fuel_prices[[#This Row],[Date]],"mmm")</f>
        <v>Mar</v>
      </c>
      <c r="E328" s="6">
        <f>YEAR(Fuel_prices[[#This Row],[Date]])</f>
        <v>1997</v>
      </c>
      <c r="F328" s="5">
        <v>19.329999999999998</v>
      </c>
      <c r="G328" s="2">
        <f ca="1">ROUND(IFERROR((Fuel_prices[[#This Row],[Crude_Oil_Price]]-OFFSET(Fuel_prices[[#This Row],[Crude_Oil_Price]],-1,0)),0),2)</f>
        <v>-1.0900000000000001</v>
      </c>
      <c r="H328" s="2">
        <f ca="1">ROUND((IFERROR((Fuel_prices[[#This Row],[Crude_Oil_Price]]-OFFSET(Fuel_prices[[#This Row],[Crude_Oil_Price]],-1,0))/(OFFSET(Fuel_prices[[#This Row],[Crude_Oil_Price]],-1,0)),0))*100,2)</f>
        <v>-5.34</v>
      </c>
      <c r="I328" s="2" t="str" cm="1">
        <f t="array" aca="1" ref="I328" ca="1">_xlfn.IFS(
    ABS(Fuel_prices[[#This Row],[%_change]])&gt;50,"SEVERE IMPACT",
    ABS(Fuel_prices[[#This Row],[%_change]])&gt;25,"HIGH IMPACT",
    ABS(Fuel_prices[[#This Row],[%_change]])&gt;5,"MID IMPACT",
    ABS(Fuel_prices[[#This Row],[%_change]])&lt;=5,"LITTLE IMPACT"
)</f>
        <v>MID IMPACT</v>
      </c>
    </row>
    <row r="329" spans="1:9" x14ac:dyDescent="0.25">
      <c r="A329" s="4">
        <v>35521</v>
      </c>
      <c r="B329" s="6" t="str">
        <f>_xlfn.CONCAT("Q",CEILING(Fuel_prices[[#This Row],[Month]]/3,1))</f>
        <v>Q2</v>
      </c>
      <c r="C329" s="6">
        <f>MONTH(Fuel_prices[[#This Row],[Date]])</f>
        <v>4</v>
      </c>
      <c r="D329" s="6" t="str">
        <f>TEXT(Fuel_prices[[#This Row],[Date]],"mmm")</f>
        <v>Apr</v>
      </c>
      <c r="E329" s="6">
        <f>YEAR(Fuel_prices[[#This Row],[Date]])</f>
        <v>1997</v>
      </c>
      <c r="F329" s="5">
        <v>17.88</v>
      </c>
      <c r="G329" s="2">
        <f ca="1">ROUND(IFERROR((Fuel_prices[[#This Row],[Crude_Oil_Price]]-OFFSET(Fuel_prices[[#This Row],[Crude_Oil_Price]],-1,0)),0),2)</f>
        <v>-1.45</v>
      </c>
      <c r="H329" s="2">
        <f ca="1">ROUND((IFERROR((Fuel_prices[[#This Row],[Crude_Oil_Price]]-OFFSET(Fuel_prices[[#This Row],[Crude_Oil_Price]],-1,0))/(OFFSET(Fuel_prices[[#This Row],[Crude_Oil_Price]],-1,0)),0))*100,2)</f>
        <v>-7.5</v>
      </c>
      <c r="I329" s="2" t="str" cm="1">
        <f t="array" aca="1" ref="I329" ca="1">_xlfn.IFS(
    ABS(Fuel_prices[[#This Row],[%_change]])&gt;50,"SEVERE IMPACT",
    ABS(Fuel_prices[[#This Row],[%_change]])&gt;25,"HIGH IMPACT",
    ABS(Fuel_prices[[#This Row],[%_change]])&gt;5,"MID IMPACT",
    ABS(Fuel_prices[[#This Row],[%_change]])&lt;=5,"LITTLE IMPACT"
)</f>
        <v>MID IMPACT</v>
      </c>
    </row>
    <row r="330" spans="1:9" x14ac:dyDescent="0.25">
      <c r="A330" s="4">
        <v>35551</v>
      </c>
      <c r="B330" s="6" t="str">
        <f>_xlfn.CONCAT("Q",CEILING(Fuel_prices[[#This Row],[Month]]/3,1))</f>
        <v>Q2</v>
      </c>
      <c r="C330" s="6">
        <f>MONTH(Fuel_prices[[#This Row],[Date]])</f>
        <v>5</v>
      </c>
      <c r="D330" s="6" t="str">
        <f>TEXT(Fuel_prices[[#This Row],[Date]],"mmm")</f>
        <v>May</v>
      </c>
      <c r="E330" s="6">
        <f>YEAR(Fuel_prices[[#This Row],[Date]])</f>
        <v>1997</v>
      </c>
      <c r="F330" s="5">
        <v>19.367433333329998</v>
      </c>
      <c r="G330" s="2">
        <f ca="1">ROUND(IFERROR((Fuel_prices[[#This Row],[Crude_Oil_Price]]-OFFSET(Fuel_prices[[#This Row],[Crude_Oil_Price]],-1,0)),0),2)</f>
        <v>1.49</v>
      </c>
      <c r="H330" s="2">
        <f ca="1">ROUND((IFERROR((Fuel_prices[[#This Row],[Crude_Oil_Price]]-OFFSET(Fuel_prices[[#This Row],[Crude_Oil_Price]],-1,0))/(OFFSET(Fuel_prices[[#This Row],[Crude_Oil_Price]],-1,0)),0))*100,2)</f>
        <v>8.32</v>
      </c>
      <c r="I330" s="2" t="str" cm="1">
        <f t="array" aca="1" ref="I330" ca="1">_xlfn.IFS(
    ABS(Fuel_prices[[#This Row],[%_change]])&gt;50,"SEVERE IMPACT",
    ABS(Fuel_prices[[#This Row],[%_change]])&gt;25,"HIGH IMPACT",
    ABS(Fuel_prices[[#This Row],[%_change]])&gt;5,"MID IMPACT",
    ABS(Fuel_prices[[#This Row],[%_change]])&lt;=5,"LITTLE IMPACT"
)</f>
        <v>MID IMPACT</v>
      </c>
    </row>
    <row r="331" spans="1:9" x14ac:dyDescent="0.25">
      <c r="A331" s="4">
        <v>35582</v>
      </c>
      <c r="B331" s="6" t="str">
        <f>_xlfn.CONCAT("Q",CEILING(Fuel_prices[[#This Row],[Month]]/3,1))</f>
        <v>Q2</v>
      </c>
      <c r="C331" s="6">
        <f>MONTH(Fuel_prices[[#This Row],[Date]])</f>
        <v>6</v>
      </c>
      <c r="D331" s="6" t="str">
        <f>TEXT(Fuel_prices[[#This Row],[Date]],"mmm")</f>
        <v>Jun</v>
      </c>
      <c r="E331" s="6">
        <f>YEAR(Fuel_prices[[#This Row],[Date]])</f>
        <v>1997</v>
      </c>
      <c r="F331" s="5">
        <v>17.920000000000002</v>
      </c>
      <c r="G331" s="2">
        <f ca="1">ROUND(IFERROR((Fuel_prices[[#This Row],[Crude_Oil_Price]]-OFFSET(Fuel_prices[[#This Row],[Crude_Oil_Price]],-1,0)),0),2)</f>
        <v>-1.45</v>
      </c>
      <c r="H331" s="2">
        <f ca="1">ROUND((IFERROR((Fuel_prices[[#This Row],[Crude_Oil_Price]]-OFFSET(Fuel_prices[[#This Row],[Crude_Oil_Price]],-1,0))/(OFFSET(Fuel_prices[[#This Row],[Crude_Oil_Price]],-1,0)),0))*100,2)</f>
        <v>-7.47</v>
      </c>
      <c r="I331" s="2" t="str" cm="1">
        <f t="array" aca="1" ref="I331" ca="1">_xlfn.IFS(
    ABS(Fuel_prices[[#This Row],[%_change]])&gt;50,"SEVERE IMPACT",
    ABS(Fuel_prices[[#This Row],[%_change]])&gt;25,"HIGH IMPACT",
    ABS(Fuel_prices[[#This Row],[%_change]])&gt;5,"MID IMPACT",
    ABS(Fuel_prices[[#This Row],[%_change]])&lt;=5,"LITTLE IMPACT"
)</f>
        <v>MID IMPACT</v>
      </c>
    </row>
    <row r="332" spans="1:9" x14ac:dyDescent="0.25">
      <c r="A332" s="4">
        <v>35612</v>
      </c>
      <c r="B332" s="6" t="str">
        <f>_xlfn.CONCAT("Q",CEILING(Fuel_prices[[#This Row],[Month]]/3,1))</f>
        <v>Q3</v>
      </c>
      <c r="C332" s="6">
        <f>MONTH(Fuel_prices[[#This Row],[Date]])</f>
        <v>7</v>
      </c>
      <c r="D332" s="6" t="str">
        <f>TEXT(Fuel_prices[[#This Row],[Date]],"mmm")</f>
        <v>Jul</v>
      </c>
      <c r="E332" s="6">
        <f>YEAR(Fuel_prices[[#This Row],[Date]])</f>
        <v>1997</v>
      </c>
      <c r="F332" s="5">
        <v>18.329999999999998</v>
      </c>
      <c r="G332" s="2">
        <f ca="1">ROUND(IFERROR((Fuel_prices[[#This Row],[Crude_Oil_Price]]-OFFSET(Fuel_prices[[#This Row],[Crude_Oil_Price]],-1,0)),0),2)</f>
        <v>0.41</v>
      </c>
      <c r="H332" s="2">
        <f ca="1">ROUND((IFERROR((Fuel_prices[[#This Row],[Crude_Oil_Price]]-OFFSET(Fuel_prices[[#This Row],[Crude_Oil_Price]],-1,0))/(OFFSET(Fuel_prices[[#This Row],[Crude_Oil_Price]],-1,0)),0))*100,2)</f>
        <v>2.29</v>
      </c>
      <c r="I332" s="2" t="str" cm="1">
        <f t="array" aca="1" ref="I332" ca="1">_xlfn.IFS(
    ABS(Fuel_prices[[#This Row],[%_change]])&gt;50,"SEVERE IMPACT",
    ABS(Fuel_prices[[#This Row],[%_change]])&gt;25,"HIGH IMPACT",
    ABS(Fuel_prices[[#This Row],[%_change]])&gt;5,"MID IMPACT",
    ABS(Fuel_prices[[#This Row],[%_change]])&lt;=5,"LITTLE IMPACT"
)</f>
        <v>LITTLE IMPACT</v>
      </c>
    </row>
    <row r="333" spans="1:9" x14ac:dyDescent="0.25">
      <c r="A333" s="4">
        <v>35643</v>
      </c>
      <c r="B333" s="6" t="str">
        <f>_xlfn.CONCAT("Q",CEILING(Fuel_prices[[#This Row],[Month]]/3,1))</f>
        <v>Q3</v>
      </c>
      <c r="C333" s="6">
        <f>MONTH(Fuel_prices[[#This Row],[Date]])</f>
        <v>8</v>
      </c>
      <c r="D333" s="6" t="str">
        <f>TEXT(Fuel_prices[[#This Row],[Date]],"mmm")</f>
        <v>Aug</v>
      </c>
      <c r="E333" s="6">
        <f>YEAR(Fuel_prices[[#This Row],[Date]])</f>
        <v>1997</v>
      </c>
      <c r="F333" s="5">
        <v>18.7</v>
      </c>
      <c r="G333" s="2">
        <f ca="1">ROUND(IFERROR((Fuel_prices[[#This Row],[Crude_Oil_Price]]-OFFSET(Fuel_prices[[#This Row],[Crude_Oil_Price]],-1,0)),0),2)</f>
        <v>0.37</v>
      </c>
      <c r="H333" s="2">
        <f ca="1">ROUND((IFERROR((Fuel_prices[[#This Row],[Crude_Oil_Price]]-OFFSET(Fuel_prices[[#This Row],[Crude_Oil_Price]],-1,0))/(OFFSET(Fuel_prices[[#This Row],[Crude_Oil_Price]],-1,0)),0))*100,2)</f>
        <v>2.02</v>
      </c>
      <c r="I333" s="2" t="str" cm="1">
        <f t="array" aca="1" ref="I333" ca="1">_xlfn.IFS(
    ABS(Fuel_prices[[#This Row],[%_change]])&gt;50,"SEVERE IMPACT",
    ABS(Fuel_prices[[#This Row],[%_change]])&gt;25,"HIGH IMPACT",
    ABS(Fuel_prices[[#This Row],[%_change]])&gt;5,"MID IMPACT",
    ABS(Fuel_prices[[#This Row],[%_change]])&lt;=5,"LITTLE IMPACT"
)</f>
        <v>LITTLE IMPACT</v>
      </c>
    </row>
    <row r="334" spans="1:9" x14ac:dyDescent="0.25">
      <c r="A334" s="4">
        <v>35674</v>
      </c>
      <c r="B334" s="6" t="str">
        <f>_xlfn.CONCAT("Q",CEILING(Fuel_prices[[#This Row],[Month]]/3,1))</f>
        <v>Q3</v>
      </c>
      <c r="C334" s="6">
        <f>MONTH(Fuel_prices[[#This Row],[Date]])</f>
        <v>9</v>
      </c>
      <c r="D334" s="6" t="str">
        <f>TEXT(Fuel_prices[[#This Row],[Date]],"mmm")</f>
        <v>Sep</v>
      </c>
      <c r="E334" s="6">
        <f>YEAR(Fuel_prices[[#This Row],[Date]])</f>
        <v>1997</v>
      </c>
      <c r="F334" s="5">
        <v>18.661746031749999</v>
      </c>
      <c r="G334" s="2">
        <f ca="1">ROUND(IFERROR((Fuel_prices[[#This Row],[Crude_Oil_Price]]-OFFSET(Fuel_prices[[#This Row],[Crude_Oil_Price]],-1,0)),0),2)</f>
        <v>-0.04</v>
      </c>
      <c r="H334" s="2">
        <f ca="1">ROUND((IFERROR((Fuel_prices[[#This Row],[Crude_Oil_Price]]-OFFSET(Fuel_prices[[#This Row],[Crude_Oil_Price]],-1,0))/(OFFSET(Fuel_prices[[#This Row],[Crude_Oil_Price]],-1,0)),0))*100,2)</f>
        <v>-0.2</v>
      </c>
      <c r="I334" s="2" t="str" cm="1">
        <f t="array" aca="1" ref="I334" ca="1">_xlfn.IFS(
    ABS(Fuel_prices[[#This Row],[%_change]])&gt;50,"SEVERE IMPACT",
    ABS(Fuel_prices[[#This Row],[%_change]])&gt;25,"HIGH IMPACT",
    ABS(Fuel_prices[[#This Row],[%_change]])&gt;5,"MID IMPACT",
    ABS(Fuel_prices[[#This Row],[%_change]])&lt;=5,"LITTLE IMPACT"
)</f>
        <v>LITTLE IMPACT</v>
      </c>
    </row>
    <row r="335" spans="1:9" x14ac:dyDescent="0.25">
      <c r="A335" s="4">
        <v>35704</v>
      </c>
      <c r="B335" s="6" t="str">
        <f>_xlfn.CONCAT("Q",CEILING(Fuel_prices[[#This Row],[Month]]/3,1))</f>
        <v>Q4</v>
      </c>
      <c r="C335" s="6">
        <f>MONTH(Fuel_prices[[#This Row],[Date]])</f>
        <v>10</v>
      </c>
      <c r="D335" s="6" t="str">
        <f>TEXT(Fuel_prices[[#This Row],[Date]],"mmm")</f>
        <v>Oct</v>
      </c>
      <c r="E335" s="6">
        <f>YEAR(Fuel_prices[[#This Row],[Date]])</f>
        <v>1997</v>
      </c>
      <c r="F335" s="5">
        <v>20.04</v>
      </c>
      <c r="G335" s="2">
        <f ca="1">ROUND(IFERROR((Fuel_prices[[#This Row],[Crude_Oil_Price]]-OFFSET(Fuel_prices[[#This Row],[Crude_Oil_Price]],-1,0)),0),2)</f>
        <v>1.38</v>
      </c>
      <c r="H335" s="2">
        <f ca="1">ROUND((IFERROR((Fuel_prices[[#This Row],[Crude_Oil_Price]]-OFFSET(Fuel_prices[[#This Row],[Crude_Oil_Price]],-1,0))/(OFFSET(Fuel_prices[[#This Row],[Crude_Oil_Price]],-1,0)),0))*100,2)</f>
        <v>7.39</v>
      </c>
      <c r="I335" s="2" t="str" cm="1">
        <f t="array" aca="1" ref="I335" ca="1">_xlfn.IFS(
    ABS(Fuel_prices[[#This Row],[%_change]])&gt;50,"SEVERE IMPACT",
    ABS(Fuel_prices[[#This Row],[%_change]])&gt;25,"HIGH IMPACT",
    ABS(Fuel_prices[[#This Row],[%_change]])&gt;5,"MID IMPACT",
    ABS(Fuel_prices[[#This Row],[%_change]])&lt;=5,"LITTLE IMPACT"
)</f>
        <v>MID IMPACT</v>
      </c>
    </row>
    <row r="336" spans="1:9" x14ac:dyDescent="0.25">
      <c r="A336" s="4">
        <v>35735</v>
      </c>
      <c r="B336" s="6" t="str">
        <f>_xlfn.CONCAT("Q",CEILING(Fuel_prices[[#This Row],[Month]]/3,1))</f>
        <v>Q4</v>
      </c>
      <c r="C336" s="6">
        <f>MONTH(Fuel_prices[[#This Row],[Date]])</f>
        <v>11</v>
      </c>
      <c r="D336" s="6" t="str">
        <f>TEXT(Fuel_prices[[#This Row],[Date]],"mmm")</f>
        <v>Nov</v>
      </c>
      <c r="E336" s="6">
        <f>YEAR(Fuel_prices[[#This Row],[Date]])</f>
        <v>1997</v>
      </c>
      <c r="F336" s="5">
        <v>19.086666666669998</v>
      </c>
      <c r="G336" s="2">
        <f ca="1">ROUND(IFERROR((Fuel_prices[[#This Row],[Crude_Oil_Price]]-OFFSET(Fuel_prices[[#This Row],[Crude_Oil_Price]],-1,0)),0),2)</f>
        <v>-0.95</v>
      </c>
      <c r="H336" s="2">
        <f ca="1">ROUND((IFERROR((Fuel_prices[[#This Row],[Crude_Oil_Price]]-OFFSET(Fuel_prices[[#This Row],[Crude_Oil_Price]],-1,0))/(OFFSET(Fuel_prices[[#This Row],[Crude_Oil_Price]],-1,0)),0))*100,2)</f>
        <v>-4.76</v>
      </c>
      <c r="I336" s="2" t="str" cm="1">
        <f t="array" aca="1" ref="I336" ca="1">_xlfn.IFS(
    ABS(Fuel_prices[[#This Row],[%_change]])&gt;50,"SEVERE IMPACT",
    ABS(Fuel_prices[[#This Row],[%_change]])&gt;25,"HIGH IMPACT",
    ABS(Fuel_prices[[#This Row],[%_change]])&gt;5,"MID IMPACT",
    ABS(Fuel_prices[[#This Row],[%_change]])&lt;=5,"LITTLE IMPACT"
)</f>
        <v>LITTLE IMPACT</v>
      </c>
    </row>
    <row r="337" spans="1:9" x14ac:dyDescent="0.25">
      <c r="A337" s="4">
        <v>35765</v>
      </c>
      <c r="B337" s="6" t="str">
        <f>_xlfn.CONCAT("Q",CEILING(Fuel_prices[[#This Row],[Month]]/3,1))</f>
        <v>Q4</v>
      </c>
      <c r="C337" s="6">
        <f>MONTH(Fuel_prices[[#This Row],[Date]])</f>
        <v>12</v>
      </c>
      <c r="D337" s="6" t="str">
        <f>TEXT(Fuel_prices[[#This Row],[Date]],"mmm")</f>
        <v>Dec</v>
      </c>
      <c r="E337" s="6">
        <f>YEAR(Fuel_prices[[#This Row],[Date]])</f>
        <v>1997</v>
      </c>
      <c r="F337" s="5">
        <v>17.09</v>
      </c>
      <c r="G337" s="2">
        <f ca="1">ROUND(IFERROR((Fuel_prices[[#This Row],[Crude_Oil_Price]]-OFFSET(Fuel_prices[[#This Row],[Crude_Oil_Price]],-1,0)),0),2)</f>
        <v>-2</v>
      </c>
      <c r="H337" s="2">
        <f ca="1">ROUND((IFERROR((Fuel_prices[[#This Row],[Crude_Oil_Price]]-OFFSET(Fuel_prices[[#This Row],[Crude_Oil_Price]],-1,0))/(OFFSET(Fuel_prices[[#This Row],[Crude_Oil_Price]],-1,0)),0))*100,2)</f>
        <v>-10.46</v>
      </c>
      <c r="I337" s="2" t="str" cm="1">
        <f t="array" aca="1" ref="I337" ca="1">_xlfn.IFS(
    ABS(Fuel_prices[[#This Row],[%_change]])&gt;50,"SEVERE IMPACT",
    ABS(Fuel_prices[[#This Row],[%_change]])&gt;25,"HIGH IMPACT",
    ABS(Fuel_prices[[#This Row],[%_change]])&gt;5,"MID IMPACT",
    ABS(Fuel_prices[[#This Row],[%_change]])&lt;=5,"LITTLE IMPACT"
)</f>
        <v>MID IMPACT</v>
      </c>
    </row>
    <row r="338" spans="1:9" x14ac:dyDescent="0.25">
      <c r="A338" s="4">
        <v>35796</v>
      </c>
      <c r="B338" s="6" t="str">
        <f>_xlfn.CONCAT("Q",CEILING(Fuel_prices[[#This Row],[Month]]/3,1))</f>
        <v>Q1</v>
      </c>
      <c r="C338" s="6">
        <f>MONTH(Fuel_prices[[#This Row],[Date]])</f>
        <v>1</v>
      </c>
      <c r="D338" s="6" t="str">
        <f>TEXT(Fuel_prices[[#This Row],[Date]],"mmm")</f>
        <v>Jan</v>
      </c>
      <c r="E338" s="6">
        <f>YEAR(Fuel_prices[[#This Row],[Date]])</f>
        <v>1998</v>
      </c>
      <c r="F338" s="5">
        <v>15</v>
      </c>
      <c r="G338" s="2">
        <f ca="1">ROUND(IFERROR((Fuel_prices[[#This Row],[Crude_Oil_Price]]-OFFSET(Fuel_prices[[#This Row],[Crude_Oil_Price]],-1,0)),0),2)</f>
        <v>-2.09</v>
      </c>
      <c r="H338" s="2">
        <f ca="1">ROUND((IFERROR((Fuel_prices[[#This Row],[Crude_Oil_Price]]-OFFSET(Fuel_prices[[#This Row],[Crude_Oil_Price]],-1,0))/(OFFSET(Fuel_prices[[#This Row],[Crude_Oil_Price]],-1,0)),0))*100,2)</f>
        <v>-12.23</v>
      </c>
      <c r="I338" s="2" t="str" cm="1">
        <f t="array" aca="1" ref="I338" ca="1">_xlfn.IFS(
    ABS(Fuel_prices[[#This Row],[%_change]])&gt;50,"SEVERE IMPACT",
    ABS(Fuel_prices[[#This Row],[%_change]])&gt;25,"HIGH IMPACT",
    ABS(Fuel_prices[[#This Row],[%_change]])&gt;5,"MID IMPACT",
    ABS(Fuel_prices[[#This Row],[%_change]])&lt;=5,"LITTLE IMPACT"
)</f>
        <v>MID IMPACT</v>
      </c>
    </row>
    <row r="339" spans="1:9" x14ac:dyDescent="0.25">
      <c r="A339" s="4">
        <v>35827</v>
      </c>
      <c r="B339" s="6" t="str">
        <f>_xlfn.CONCAT("Q",CEILING(Fuel_prices[[#This Row],[Month]]/3,1))</f>
        <v>Q1</v>
      </c>
      <c r="C339" s="6">
        <f>MONTH(Fuel_prices[[#This Row],[Date]])</f>
        <v>2</v>
      </c>
      <c r="D339" s="6" t="str">
        <f>TEXT(Fuel_prices[[#This Row],[Date]],"mmm")</f>
        <v>Feb</v>
      </c>
      <c r="E339" s="6">
        <f>YEAR(Fuel_prices[[#This Row],[Date]])</f>
        <v>1998</v>
      </c>
      <c r="F339" s="5">
        <v>14.1</v>
      </c>
      <c r="G339" s="2">
        <f ca="1">ROUND(IFERROR((Fuel_prices[[#This Row],[Crude_Oil_Price]]-OFFSET(Fuel_prices[[#This Row],[Crude_Oil_Price]],-1,0)),0),2)</f>
        <v>-0.9</v>
      </c>
      <c r="H339" s="2">
        <f ca="1">ROUND((IFERROR((Fuel_prices[[#This Row],[Crude_Oil_Price]]-OFFSET(Fuel_prices[[#This Row],[Crude_Oil_Price]],-1,0))/(OFFSET(Fuel_prices[[#This Row],[Crude_Oil_Price]],-1,0)),0))*100,2)</f>
        <v>-6</v>
      </c>
      <c r="I339" s="2" t="str" cm="1">
        <f t="array" aca="1" ref="I339" ca="1">_xlfn.IFS(
    ABS(Fuel_prices[[#This Row],[%_change]])&gt;50,"SEVERE IMPACT",
    ABS(Fuel_prices[[#This Row],[%_change]])&gt;25,"HIGH IMPACT",
    ABS(Fuel_prices[[#This Row],[%_change]])&gt;5,"MID IMPACT",
    ABS(Fuel_prices[[#This Row],[%_change]])&lt;=5,"LITTLE IMPACT"
)</f>
        <v>MID IMPACT</v>
      </c>
    </row>
    <row r="340" spans="1:9" x14ac:dyDescent="0.25">
      <c r="A340" s="4">
        <v>35855</v>
      </c>
      <c r="B340" s="6" t="str">
        <f>_xlfn.CONCAT("Q",CEILING(Fuel_prices[[#This Row],[Month]]/3,1))</f>
        <v>Q1</v>
      </c>
      <c r="C340" s="6">
        <f>MONTH(Fuel_prices[[#This Row],[Date]])</f>
        <v>3</v>
      </c>
      <c r="D340" s="6" t="str">
        <f>TEXT(Fuel_prices[[#This Row],[Date]],"mmm")</f>
        <v>Mar</v>
      </c>
      <c r="E340" s="6">
        <f>YEAR(Fuel_prices[[#This Row],[Date]])</f>
        <v>1998</v>
      </c>
      <c r="F340" s="5">
        <v>13.123333333330001</v>
      </c>
      <c r="G340" s="2">
        <f ca="1">ROUND(IFERROR((Fuel_prices[[#This Row],[Crude_Oil_Price]]-OFFSET(Fuel_prices[[#This Row],[Crude_Oil_Price]],-1,0)),0),2)</f>
        <v>-0.98</v>
      </c>
      <c r="H340" s="2">
        <f ca="1">ROUND((IFERROR((Fuel_prices[[#This Row],[Crude_Oil_Price]]-OFFSET(Fuel_prices[[#This Row],[Crude_Oil_Price]],-1,0))/(OFFSET(Fuel_prices[[#This Row],[Crude_Oil_Price]],-1,0)),0))*100,2)</f>
        <v>-6.93</v>
      </c>
      <c r="I340" s="2" t="str" cm="1">
        <f t="array" aca="1" ref="I340" ca="1">_xlfn.IFS(
    ABS(Fuel_prices[[#This Row],[%_change]])&gt;50,"SEVERE IMPACT",
    ABS(Fuel_prices[[#This Row],[%_change]])&gt;25,"HIGH IMPACT",
    ABS(Fuel_prices[[#This Row],[%_change]])&gt;5,"MID IMPACT",
    ABS(Fuel_prices[[#This Row],[%_change]])&lt;=5,"LITTLE IMPACT"
)</f>
        <v>MID IMPACT</v>
      </c>
    </row>
    <row r="341" spans="1:9" x14ac:dyDescent="0.25">
      <c r="A341" s="4">
        <v>35886</v>
      </c>
      <c r="B341" s="6" t="str">
        <f>_xlfn.CONCAT("Q",CEILING(Fuel_prices[[#This Row],[Month]]/3,1))</f>
        <v>Q2</v>
      </c>
      <c r="C341" s="6">
        <f>MONTH(Fuel_prices[[#This Row],[Date]])</f>
        <v>4</v>
      </c>
      <c r="D341" s="6" t="str">
        <f>TEXT(Fuel_prices[[#This Row],[Date]],"mmm")</f>
        <v>Apr</v>
      </c>
      <c r="E341" s="6">
        <f>YEAR(Fuel_prices[[#This Row],[Date]])</f>
        <v>1998</v>
      </c>
      <c r="F341" s="5">
        <v>13.5</v>
      </c>
      <c r="G341" s="2">
        <f ca="1">ROUND(IFERROR((Fuel_prices[[#This Row],[Crude_Oil_Price]]-OFFSET(Fuel_prices[[#This Row],[Crude_Oil_Price]],-1,0)),0),2)</f>
        <v>0.38</v>
      </c>
      <c r="H341" s="2">
        <f ca="1">ROUND((IFERROR((Fuel_prices[[#This Row],[Crude_Oil_Price]]-OFFSET(Fuel_prices[[#This Row],[Crude_Oil_Price]],-1,0))/(OFFSET(Fuel_prices[[#This Row],[Crude_Oil_Price]],-1,0)),0))*100,2)</f>
        <v>2.87</v>
      </c>
      <c r="I341" s="2" t="str" cm="1">
        <f t="array" aca="1" ref="I341" ca="1">_xlfn.IFS(
    ABS(Fuel_prices[[#This Row],[%_change]])&gt;50,"SEVERE IMPACT",
    ABS(Fuel_prices[[#This Row],[%_change]])&gt;25,"HIGH IMPACT",
    ABS(Fuel_prices[[#This Row],[%_change]])&gt;5,"MID IMPACT",
    ABS(Fuel_prices[[#This Row],[%_change]])&lt;=5,"LITTLE IMPACT"
)</f>
        <v>LITTLE IMPACT</v>
      </c>
    </row>
    <row r="342" spans="1:9" x14ac:dyDescent="0.25">
      <c r="A342" s="4">
        <v>35916</v>
      </c>
      <c r="B342" s="6" t="str">
        <f>_xlfn.CONCAT("Q",CEILING(Fuel_prices[[#This Row],[Month]]/3,1))</f>
        <v>Q2</v>
      </c>
      <c r="C342" s="6">
        <f>MONTH(Fuel_prices[[#This Row],[Date]])</f>
        <v>5</v>
      </c>
      <c r="D342" s="6" t="str">
        <f>TEXT(Fuel_prices[[#This Row],[Date]],"mmm")</f>
        <v>May</v>
      </c>
      <c r="E342" s="6">
        <f>YEAR(Fuel_prices[[#This Row],[Date]])</f>
        <v>1998</v>
      </c>
      <c r="F342" s="5">
        <v>14.02666666667</v>
      </c>
      <c r="G342" s="2">
        <f ca="1">ROUND(IFERROR((Fuel_prices[[#This Row],[Crude_Oil_Price]]-OFFSET(Fuel_prices[[#This Row],[Crude_Oil_Price]],-1,0)),0),2)</f>
        <v>0.53</v>
      </c>
      <c r="H342" s="2">
        <f ca="1">ROUND((IFERROR((Fuel_prices[[#This Row],[Crude_Oil_Price]]-OFFSET(Fuel_prices[[#This Row],[Crude_Oil_Price]],-1,0))/(OFFSET(Fuel_prices[[#This Row],[Crude_Oil_Price]],-1,0)),0))*100,2)</f>
        <v>3.9</v>
      </c>
      <c r="I342" s="2" t="str" cm="1">
        <f t="array" aca="1" ref="I342" ca="1">_xlfn.IFS(
    ABS(Fuel_prices[[#This Row],[%_change]])&gt;50,"SEVERE IMPACT",
    ABS(Fuel_prices[[#This Row],[%_change]])&gt;25,"HIGH IMPACT",
    ABS(Fuel_prices[[#This Row],[%_change]])&gt;5,"MID IMPACT",
    ABS(Fuel_prices[[#This Row],[%_change]])&lt;=5,"LITTLE IMPACT"
)</f>
        <v>LITTLE IMPACT</v>
      </c>
    </row>
    <row r="343" spans="1:9" x14ac:dyDescent="0.25">
      <c r="A343" s="4">
        <v>35947</v>
      </c>
      <c r="B343" s="6" t="str">
        <f>_xlfn.CONCAT("Q",CEILING(Fuel_prices[[#This Row],[Month]]/3,1))</f>
        <v>Q2</v>
      </c>
      <c r="C343" s="6">
        <f>MONTH(Fuel_prices[[#This Row],[Date]])</f>
        <v>6</v>
      </c>
      <c r="D343" s="6" t="str">
        <f>TEXT(Fuel_prices[[#This Row],[Date]],"mmm")</f>
        <v>Jun</v>
      </c>
      <c r="E343" s="6">
        <f>YEAR(Fuel_prices[[#This Row],[Date]])</f>
        <v>1998</v>
      </c>
      <c r="F343" s="5">
        <v>12.478999999999999</v>
      </c>
      <c r="G343" s="2">
        <f ca="1">ROUND(IFERROR((Fuel_prices[[#This Row],[Crude_Oil_Price]]-OFFSET(Fuel_prices[[#This Row],[Crude_Oil_Price]],-1,0)),0),2)</f>
        <v>-1.55</v>
      </c>
      <c r="H343" s="2">
        <f ca="1">ROUND((IFERROR((Fuel_prices[[#This Row],[Crude_Oil_Price]]-OFFSET(Fuel_prices[[#This Row],[Crude_Oil_Price]],-1,0))/(OFFSET(Fuel_prices[[#This Row],[Crude_Oil_Price]],-1,0)),0))*100,2)</f>
        <v>-11.03</v>
      </c>
      <c r="I343" s="2" t="str" cm="1">
        <f t="array" aca="1" ref="I343" ca="1">_xlfn.IFS(
    ABS(Fuel_prices[[#This Row],[%_change]])&gt;50,"SEVERE IMPACT",
    ABS(Fuel_prices[[#This Row],[%_change]])&gt;25,"HIGH IMPACT",
    ABS(Fuel_prices[[#This Row],[%_change]])&gt;5,"MID IMPACT",
    ABS(Fuel_prices[[#This Row],[%_change]])&lt;=5,"LITTLE IMPACT"
)</f>
        <v>MID IMPACT</v>
      </c>
    </row>
    <row r="344" spans="1:9" x14ac:dyDescent="0.25">
      <c r="A344" s="4">
        <v>35977</v>
      </c>
      <c r="B344" s="6" t="str">
        <f>_xlfn.CONCAT("Q",CEILING(Fuel_prices[[#This Row],[Month]]/3,1))</f>
        <v>Q3</v>
      </c>
      <c r="C344" s="6">
        <f>MONTH(Fuel_prices[[#This Row],[Date]])</f>
        <v>7</v>
      </c>
      <c r="D344" s="6" t="str">
        <f>TEXT(Fuel_prices[[#This Row],[Date]],"mmm")</f>
        <v>Jul</v>
      </c>
      <c r="E344" s="6">
        <f>YEAR(Fuel_prices[[#This Row],[Date]])</f>
        <v>1998</v>
      </c>
      <c r="F344" s="5">
        <v>12.69966666667</v>
      </c>
      <c r="G344" s="2">
        <f ca="1">ROUND(IFERROR((Fuel_prices[[#This Row],[Crude_Oil_Price]]-OFFSET(Fuel_prices[[#This Row],[Crude_Oil_Price]],-1,0)),0),2)</f>
        <v>0.22</v>
      </c>
      <c r="H344" s="2">
        <f ca="1">ROUND((IFERROR((Fuel_prices[[#This Row],[Crude_Oil_Price]]-OFFSET(Fuel_prices[[#This Row],[Crude_Oil_Price]],-1,0))/(OFFSET(Fuel_prices[[#This Row],[Crude_Oil_Price]],-1,0)),0))*100,2)</f>
        <v>1.77</v>
      </c>
      <c r="I344" s="2" t="str" cm="1">
        <f t="array" aca="1" ref="I344" ca="1">_xlfn.IFS(
    ABS(Fuel_prices[[#This Row],[%_change]])&gt;50,"SEVERE IMPACT",
    ABS(Fuel_prices[[#This Row],[%_change]])&gt;25,"HIGH IMPACT",
    ABS(Fuel_prices[[#This Row],[%_change]])&gt;5,"MID IMPACT",
    ABS(Fuel_prices[[#This Row],[%_change]])&lt;=5,"LITTLE IMPACT"
)</f>
        <v>LITTLE IMPACT</v>
      </c>
    </row>
    <row r="345" spans="1:9" x14ac:dyDescent="0.25">
      <c r="A345" s="4">
        <v>36008</v>
      </c>
      <c r="B345" s="6" t="str">
        <f>_xlfn.CONCAT("Q",CEILING(Fuel_prices[[#This Row],[Month]]/3,1))</f>
        <v>Q3</v>
      </c>
      <c r="C345" s="6">
        <f>MONTH(Fuel_prices[[#This Row],[Date]])</f>
        <v>8</v>
      </c>
      <c r="D345" s="6" t="str">
        <f>TEXT(Fuel_prices[[#This Row],[Date]],"mmm")</f>
        <v>Aug</v>
      </c>
      <c r="E345" s="6">
        <f>YEAR(Fuel_prices[[#This Row],[Date]])</f>
        <v>1998</v>
      </c>
      <c r="F345" s="5">
        <v>12.487966666669999</v>
      </c>
      <c r="G345" s="2">
        <f ca="1">ROUND(IFERROR((Fuel_prices[[#This Row],[Crude_Oil_Price]]-OFFSET(Fuel_prices[[#This Row],[Crude_Oil_Price]],-1,0)),0),2)</f>
        <v>-0.21</v>
      </c>
      <c r="H345" s="2">
        <f ca="1">ROUND((IFERROR((Fuel_prices[[#This Row],[Crude_Oil_Price]]-OFFSET(Fuel_prices[[#This Row],[Crude_Oil_Price]],-1,0))/(OFFSET(Fuel_prices[[#This Row],[Crude_Oil_Price]],-1,0)),0))*100,2)</f>
        <v>-1.67</v>
      </c>
      <c r="I345" s="2" t="str" cm="1">
        <f t="array" aca="1" ref="I345" ca="1">_xlfn.IFS(
    ABS(Fuel_prices[[#This Row],[%_change]])&gt;50,"SEVERE IMPACT",
    ABS(Fuel_prices[[#This Row],[%_change]])&gt;25,"HIGH IMPACT",
    ABS(Fuel_prices[[#This Row],[%_change]])&gt;5,"MID IMPACT",
    ABS(Fuel_prices[[#This Row],[%_change]])&lt;=5,"LITTLE IMPACT"
)</f>
        <v>LITTLE IMPACT</v>
      </c>
    </row>
    <row r="346" spans="1:9" x14ac:dyDescent="0.25">
      <c r="A346" s="4">
        <v>36039</v>
      </c>
      <c r="B346" s="6" t="str">
        <f>_xlfn.CONCAT("Q",CEILING(Fuel_prices[[#This Row],[Month]]/3,1))</f>
        <v>Q3</v>
      </c>
      <c r="C346" s="6">
        <f>MONTH(Fuel_prices[[#This Row],[Date]])</f>
        <v>9</v>
      </c>
      <c r="D346" s="6" t="str">
        <f>TEXT(Fuel_prices[[#This Row],[Date]],"mmm")</f>
        <v>Sep</v>
      </c>
      <c r="E346" s="6">
        <f>YEAR(Fuel_prices[[#This Row],[Date]])</f>
        <v>1998</v>
      </c>
      <c r="F346" s="5">
        <v>13.80333333333</v>
      </c>
      <c r="G346" s="2">
        <f ca="1">ROUND(IFERROR((Fuel_prices[[#This Row],[Crude_Oil_Price]]-OFFSET(Fuel_prices[[#This Row],[Crude_Oil_Price]],-1,0)),0),2)</f>
        <v>1.32</v>
      </c>
      <c r="H346" s="2">
        <f ca="1">ROUND((IFERROR((Fuel_prices[[#This Row],[Crude_Oil_Price]]-OFFSET(Fuel_prices[[#This Row],[Crude_Oil_Price]],-1,0))/(OFFSET(Fuel_prices[[#This Row],[Crude_Oil_Price]],-1,0)),0))*100,2)</f>
        <v>10.53</v>
      </c>
      <c r="I346" s="2" t="str" cm="1">
        <f t="array" aca="1" ref="I346" ca="1">_xlfn.IFS(
    ABS(Fuel_prices[[#This Row],[%_change]])&gt;50,"SEVERE IMPACT",
    ABS(Fuel_prices[[#This Row],[%_change]])&gt;25,"HIGH IMPACT",
    ABS(Fuel_prices[[#This Row],[%_change]])&gt;5,"MID IMPACT",
    ABS(Fuel_prices[[#This Row],[%_change]])&lt;=5,"LITTLE IMPACT"
)</f>
        <v>MID IMPACT</v>
      </c>
    </row>
    <row r="347" spans="1:9" x14ac:dyDescent="0.25">
      <c r="A347" s="4">
        <v>36069</v>
      </c>
      <c r="B347" s="6" t="str">
        <f>_xlfn.CONCAT("Q",CEILING(Fuel_prices[[#This Row],[Month]]/3,1))</f>
        <v>Q4</v>
      </c>
      <c r="C347" s="6">
        <f>MONTH(Fuel_prices[[#This Row],[Date]])</f>
        <v>10</v>
      </c>
      <c r="D347" s="6" t="str">
        <f>TEXT(Fuel_prices[[#This Row],[Date]],"mmm")</f>
        <v>Oct</v>
      </c>
      <c r="E347" s="6">
        <f>YEAR(Fuel_prices[[#This Row],[Date]])</f>
        <v>1998</v>
      </c>
      <c r="F347" s="5">
        <v>13.263333333329999</v>
      </c>
      <c r="G347" s="2">
        <f ca="1">ROUND(IFERROR((Fuel_prices[[#This Row],[Crude_Oil_Price]]-OFFSET(Fuel_prices[[#This Row],[Crude_Oil_Price]],-1,0)),0),2)</f>
        <v>-0.54</v>
      </c>
      <c r="H347" s="2">
        <f ca="1">ROUND((IFERROR((Fuel_prices[[#This Row],[Crude_Oil_Price]]-OFFSET(Fuel_prices[[#This Row],[Crude_Oil_Price]],-1,0))/(OFFSET(Fuel_prices[[#This Row],[Crude_Oil_Price]],-1,0)),0))*100,2)</f>
        <v>-3.91</v>
      </c>
      <c r="I347" s="2" t="str" cm="1">
        <f t="array" aca="1" ref="I347" ca="1">_xlfn.IFS(
    ABS(Fuel_prices[[#This Row],[%_change]])&gt;50,"SEVERE IMPACT",
    ABS(Fuel_prices[[#This Row],[%_change]])&gt;25,"HIGH IMPACT",
    ABS(Fuel_prices[[#This Row],[%_change]])&gt;5,"MID IMPACT",
    ABS(Fuel_prices[[#This Row],[%_change]])&lt;=5,"LITTLE IMPACT"
)</f>
        <v>LITTLE IMPACT</v>
      </c>
    </row>
    <row r="348" spans="1:9" x14ac:dyDescent="0.25">
      <c r="A348" s="4">
        <v>36100</v>
      </c>
      <c r="B348" s="6" t="str">
        <f>_xlfn.CONCAT("Q",CEILING(Fuel_prices[[#This Row],[Month]]/3,1))</f>
        <v>Q4</v>
      </c>
      <c r="C348" s="6">
        <f>MONTH(Fuel_prices[[#This Row],[Date]])</f>
        <v>11</v>
      </c>
      <c r="D348" s="6" t="str">
        <f>TEXT(Fuel_prices[[#This Row],[Date]],"mmm")</f>
        <v>Nov</v>
      </c>
      <c r="E348" s="6">
        <f>YEAR(Fuel_prices[[#This Row],[Date]])</f>
        <v>1998</v>
      </c>
      <c r="F348" s="5">
        <v>11.88</v>
      </c>
      <c r="G348" s="2">
        <f ca="1">ROUND(IFERROR((Fuel_prices[[#This Row],[Crude_Oil_Price]]-OFFSET(Fuel_prices[[#This Row],[Crude_Oil_Price]],-1,0)),0),2)</f>
        <v>-1.38</v>
      </c>
      <c r="H348" s="2">
        <f ca="1">ROUND((IFERROR((Fuel_prices[[#This Row],[Crude_Oil_Price]]-OFFSET(Fuel_prices[[#This Row],[Crude_Oil_Price]],-1,0))/(OFFSET(Fuel_prices[[#This Row],[Crude_Oil_Price]],-1,0)),0))*100,2)</f>
        <v>-10.43</v>
      </c>
      <c r="I348" s="2" t="str" cm="1">
        <f t="array" aca="1" ref="I348" ca="1">_xlfn.IFS(
    ABS(Fuel_prices[[#This Row],[%_change]])&gt;50,"SEVERE IMPACT",
    ABS(Fuel_prices[[#This Row],[%_change]])&gt;25,"HIGH IMPACT",
    ABS(Fuel_prices[[#This Row],[%_change]])&gt;5,"MID IMPACT",
    ABS(Fuel_prices[[#This Row],[%_change]])&lt;=5,"LITTLE IMPACT"
)</f>
        <v>MID IMPACT</v>
      </c>
    </row>
    <row r="349" spans="1:9" x14ac:dyDescent="0.25">
      <c r="A349" s="4">
        <v>36130</v>
      </c>
      <c r="B349" s="6" t="str">
        <f>_xlfn.CONCAT("Q",CEILING(Fuel_prices[[#This Row],[Month]]/3,1))</f>
        <v>Q4</v>
      </c>
      <c r="C349" s="6">
        <f>MONTH(Fuel_prices[[#This Row],[Date]])</f>
        <v>12</v>
      </c>
      <c r="D349" s="6" t="str">
        <f>TEXT(Fuel_prices[[#This Row],[Date]],"mmm")</f>
        <v>Dec</v>
      </c>
      <c r="E349" s="6">
        <f>YEAR(Fuel_prices[[#This Row],[Date]])</f>
        <v>1998</v>
      </c>
      <c r="F349" s="5">
        <v>10.41</v>
      </c>
      <c r="G349" s="2">
        <f ca="1">ROUND(IFERROR((Fuel_prices[[#This Row],[Crude_Oil_Price]]-OFFSET(Fuel_prices[[#This Row],[Crude_Oil_Price]],-1,0)),0),2)</f>
        <v>-1.47</v>
      </c>
      <c r="H349" s="2">
        <f ca="1">ROUND((IFERROR((Fuel_prices[[#This Row],[Crude_Oil_Price]]-OFFSET(Fuel_prices[[#This Row],[Crude_Oil_Price]],-1,0))/(OFFSET(Fuel_prices[[#This Row],[Crude_Oil_Price]],-1,0)),0))*100,2)</f>
        <v>-12.37</v>
      </c>
      <c r="I349" s="2" t="str" cm="1">
        <f t="array" aca="1" ref="I349" ca="1">_xlfn.IFS(
    ABS(Fuel_prices[[#This Row],[%_change]])&gt;50,"SEVERE IMPACT",
    ABS(Fuel_prices[[#This Row],[%_change]])&gt;25,"HIGH IMPACT",
    ABS(Fuel_prices[[#This Row],[%_change]])&gt;5,"MID IMPACT",
    ABS(Fuel_prices[[#This Row],[%_change]])&lt;=5,"LITTLE IMPACT"
)</f>
        <v>MID IMPACT</v>
      </c>
    </row>
    <row r="350" spans="1:9" x14ac:dyDescent="0.25">
      <c r="A350" s="4">
        <v>36161</v>
      </c>
      <c r="B350" s="6" t="str">
        <f>_xlfn.CONCAT("Q",CEILING(Fuel_prices[[#This Row],[Month]]/3,1))</f>
        <v>Q1</v>
      </c>
      <c r="C350" s="6">
        <f>MONTH(Fuel_prices[[#This Row],[Date]])</f>
        <v>1</v>
      </c>
      <c r="D350" s="6" t="str">
        <f>TEXT(Fuel_prices[[#This Row],[Date]],"mmm")</f>
        <v>Jan</v>
      </c>
      <c r="E350" s="6">
        <f>YEAR(Fuel_prices[[#This Row],[Date]])</f>
        <v>1999</v>
      </c>
      <c r="F350" s="5">
        <v>11.443333333329999</v>
      </c>
      <c r="G350" s="2">
        <f ca="1">ROUND(IFERROR((Fuel_prices[[#This Row],[Crude_Oil_Price]]-OFFSET(Fuel_prices[[#This Row],[Crude_Oil_Price]],-1,0)),0),2)</f>
        <v>1.03</v>
      </c>
      <c r="H350" s="2">
        <f ca="1">ROUND((IFERROR((Fuel_prices[[#This Row],[Crude_Oil_Price]]-OFFSET(Fuel_prices[[#This Row],[Crude_Oil_Price]],-1,0))/(OFFSET(Fuel_prices[[#This Row],[Crude_Oil_Price]],-1,0)),0))*100,2)</f>
        <v>9.93</v>
      </c>
      <c r="I350" s="2" t="str" cm="1">
        <f t="array" aca="1" ref="I350" ca="1">_xlfn.IFS(
    ABS(Fuel_prices[[#This Row],[%_change]])&gt;50,"SEVERE IMPACT",
    ABS(Fuel_prices[[#This Row],[%_change]])&gt;25,"HIGH IMPACT",
    ABS(Fuel_prices[[#This Row],[%_change]])&gt;5,"MID IMPACT",
    ABS(Fuel_prices[[#This Row],[%_change]])&lt;=5,"LITTLE IMPACT"
)</f>
        <v>MID IMPACT</v>
      </c>
    </row>
    <row r="351" spans="1:9" x14ac:dyDescent="0.25">
      <c r="A351" s="4">
        <v>36192</v>
      </c>
      <c r="B351" s="6" t="str">
        <f>_xlfn.CONCAT("Q",CEILING(Fuel_prices[[#This Row],[Month]]/3,1))</f>
        <v>Q1</v>
      </c>
      <c r="C351" s="6">
        <f>MONTH(Fuel_prices[[#This Row],[Date]])</f>
        <v>2</v>
      </c>
      <c r="D351" s="6" t="str">
        <f>TEXT(Fuel_prices[[#This Row],[Date]],"mmm")</f>
        <v>Feb</v>
      </c>
      <c r="E351" s="6">
        <f>YEAR(Fuel_prices[[#This Row],[Date]])</f>
        <v>1999</v>
      </c>
      <c r="F351" s="5">
        <v>10.75333333333</v>
      </c>
      <c r="G351" s="2">
        <f ca="1">ROUND(IFERROR((Fuel_prices[[#This Row],[Crude_Oil_Price]]-OFFSET(Fuel_prices[[#This Row],[Crude_Oil_Price]],-1,0)),0),2)</f>
        <v>-0.69</v>
      </c>
      <c r="H351" s="2">
        <f ca="1">ROUND((IFERROR((Fuel_prices[[#This Row],[Crude_Oil_Price]]-OFFSET(Fuel_prices[[#This Row],[Crude_Oil_Price]],-1,0))/(OFFSET(Fuel_prices[[#This Row],[Crude_Oil_Price]],-1,0)),0))*100,2)</f>
        <v>-6.03</v>
      </c>
      <c r="I351" s="2" t="str" cm="1">
        <f t="array" aca="1" ref="I351" ca="1">_xlfn.IFS(
    ABS(Fuel_prices[[#This Row],[%_change]])&gt;50,"SEVERE IMPACT",
    ABS(Fuel_prices[[#This Row],[%_change]])&gt;25,"HIGH IMPACT",
    ABS(Fuel_prices[[#This Row],[%_change]])&gt;5,"MID IMPACT",
    ABS(Fuel_prices[[#This Row],[%_change]])&lt;=5,"LITTLE IMPACT"
)</f>
        <v>MID IMPACT</v>
      </c>
    </row>
    <row r="352" spans="1:9" x14ac:dyDescent="0.25">
      <c r="A352" s="4">
        <v>36220</v>
      </c>
      <c r="B352" s="6" t="str">
        <f>_xlfn.CONCAT("Q",CEILING(Fuel_prices[[#This Row],[Month]]/3,1))</f>
        <v>Q1</v>
      </c>
      <c r="C352" s="6">
        <f>MONTH(Fuel_prices[[#This Row],[Date]])</f>
        <v>3</v>
      </c>
      <c r="D352" s="6" t="str">
        <f>TEXT(Fuel_prices[[#This Row],[Date]],"mmm")</f>
        <v>Mar</v>
      </c>
      <c r="E352" s="6">
        <f>YEAR(Fuel_prices[[#This Row],[Date]])</f>
        <v>1999</v>
      </c>
      <c r="F352" s="5">
        <v>13.16666666667</v>
      </c>
      <c r="G352" s="2">
        <f ca="1">ROUND(IFERROR((Fuel_prices[[#This Row],[Crude_Oil_Price]]-OFFSET(Fuel_prices[[#This Row],[Crude_Oil_Price]],-1,0)),0),2)</f>
        <v>2.41</v>
      </c>
      <c r="H352" s="2">
        <f ca="1">ROUND((IFERROR((Fuel_prices[[#This Row],[Crude_Oil_Price]]-OFFSET(Fuel_prices[[#This Row],[Crude_Oil_Price]],-1,0))/(OFFSET(Fuel_prices[[#This Row],[Crude_Oil_Price]],-1,0)),0))*100,2)</f>
        <v>22.44</v>
      </c>
      <c r="I352" s="2" t="str" cm="1">
        <f t="array" aca="1" ref="I352" ca="1">_xlfn.IFS(
    ABS(Fuel_prices[[#This Row],[%_change]])&gt;50,"SEVERE IMPACT",
    ABS(Fuel_prices[[#This Row],[%_change]])&gt;25,"HIGH IMPACT",
    ABS(Fuel_prices[[#This Row],[%_change]])&gt;5,"MID IMPACT",
    ABS(Fuel_prices[[#This Row],[%_change]])&lt;=5,"LITTLE IMPACT"
)</f>
        <v>MID IMPACT</v>
      </c>
    </row>
    <row r="353" spans="1:9" x14ac:dyDescent="0.25">
      <c r="A353" s="4">
        <v>36251</v>
      </c>
      <c r="B353" s="6" t="str">
        <f>_xlfn.CONCAT("Q",CEILING(Fuel_prices[[#This Row],[Month]]/3,1))</f>
        <v>Q2</v>
      </c>
      <c r="C353" s="6">
        <f>MONTH(Fuel_prices[[#This Row],[Date]])</f>
        <v>4</v>
      </c>
      <c r="D353" s="6" t="str">
        <f>TEXT(Fuel_prices[[#This Row],[Date]],"mmm")</f>
        <v>Apr</v>
      </c>
      <c r="E353" s="6">
        <f>YEAR(Fuel_prices[[#This Row],[Date]])</f>
        <v>1999</v>
      </c>
      <c r="F353" s="5">
        <v>15.86666666667</v>
      </c>
      <c r="G353" s="2">
        <f ca="1">ROUND(IFERROR((Fuel_prices[[#This Row],[Crude_Oil_Price]]-OFFSET(Fuel_prices[[#This Row],[Crude_Oil_Price]],-1,0)),0),2)</f>
        <v>2.7</v>
      </c>
      <c r="H353" s="2">
        <f ca="1">ROUND((IFERROR((Fuel_prices[[#This Row],[Crude_Oil_Price]]-OFFSET(Fuel_prices[[#This Row],[Crude_Oil_Price]],-1,0))/(OFFSET(Fuel_prices[[#This Row],[Crude_Oil_Price]],-1,0)),0))*100,2)</f>
        <v>20.51</v>
      </c>
      <c r="I353" s="2" t="str" cm="1">
        <f t="array" aca="1" ref="I353" ca="1">_xlfn.IFS(
    ABS(Fuel_prices[[#This Row],[%_change]])&gt;50,"SEVERE IMPACT",
    ABS(Fuel_prices[[#This Row],[%_change]])&gt;25,"HIGH IMPACT",
    ABS(Fuel_prices[[#This Row],[%_change]])&gt;5,"MID IMPACT",
    ABS(Fuel_prices[[#This Row],[%_change]])&lt;=5,"LITTLE IMPACT"
)</f>
        <v>MID IMPACT</v>
      </c>
    </row>
    <row r="354" spans="1:9" x14ac:dyDescent="0.25">
      <c r="A354" s="4">
        <v>36281</v>
      </c>
      <c r="B354" s="6" t="str">
        <f>_xlfn.CONCAT("Q",CEILING(Fuel_prices[[#This Row],[Month]]/3,1))</f>
        <v>Q2</v>
      </c>
      <c r="C354" s="6">
        <f>MONTH(Fuel_prices[[#This Row],[Date]])</f>
        <v>5</v>
      </c>
      <c r="D354" s="6" t="str">
        <f>TEXT(Fuel_prices[[#This Row],[Date]],"mmm")</f>
        <v>May</v>
      </c>
      <c r="E354" s="6">
        <f>YEAR(Fuel_prices[[#This Row],[Date]])</f>
        <v>1999</v>
      </c>
      <c r="F354" s="5">
        <v>16.06333333333</v>
      </c>
      <c r="G354" s="2">
        <f ca="1">ROUND(IFERROR((Fuel_prices[[#This Row],[Crude_Oil_Price]]-OFFSET(Fuel_prices[[#This Row],[Crude_Oil_Price]],-1,0)),0),2)</f>
        <v>0.2</v>
      </c>
      <c r="H354" s="2">
        <f ca="1">ROUND((IFERROR((Fuel_prices[[#This Row],[Crude_Oil_Price]]-OFFSET(Fuel_prices[[#This Row],[Crude_Oil_Price]],-1,0))/(OFFSET(Fuel_prices[[#This Row],[Crude_Oil_Price]],-1,0)),0))*100,2)</f>
        <v>1.24</v>
      </c>
      <c r="I354" s="2" t="str" cm="1">
        <f t="array" aca="1" ref="I354" ca="1">_xlfn.IFS(
    ABS(Fuel_prices[[#This Row],[%_change]])&gt;50,"SEVERE IMPACT",
    ABS(Fuel_prices[[#This Row],[%_change]])&gt;25,"HIGH IMPACT",
    ABS(Fuel_prices[[#This Row],[%_change]])&gt;5,"MID IMPACT",
    ABS(Fuel_prices[[#This Row],[%_change]])&lt;=5,"LITTLE IMPACT"
)</f>
        <v>LITTLE IMPACT</v>
      </c>
    </row>
    <row r="355" spans="1:9" x14ac:dyDescent="0.25">
      <c r="A355" s="4">
        <v>36312</v>
      </c>
      <c r="B355" s="6" t="str">
        <f>_xlfn.CONCAT("Q",CEILING(Fuel_prices[[#This Row],[Month]]/3,1))</f>
        <v>Q2</v>
      </c>
      <c r="C355" s="6">
        <f>MONTH(Fuel_prices[[#This Row],[Date]])</f>
        <v>6</v>
      </c>
      <c r="D355" s="6" t="str">
        <f>TEXT(Fuel_prices[[#This Row],[Date]],"mmm")</f>
        <v>Jun</v>
      </c>
      <c r="E355" s="6">
        <f>YEAR(Fuel_prices[[#This Row],[Date]])</f>
        <v>1999</v>
      </c>
      <c r="F355" s="5">
        <v>16.393333333329998</v>
      </c>
      <c r="G355" s="2">
        <f ca="1">ROUND(IFERROR((Fuel_prices[[#This Row],[Crude_Oil_Price]]-OFFSET(Fuel_prices[[#This Row],[Crude_Oil_Price]],-1,0)),0),2)</f>
        <v>0.33</v>
      </c>
      <c r="H355" s="2">
        <f ca="1">ROUND((IFERROR((Fuel_prices[[#This Row],[Crude_Oil_Price]]-OFFSET(Fuel_prices[[#This Row],[Crude_Oil_Price]],-1,0))/(OFFSET(Fuel_prices[[#This Row],[Crude_Oil_Price]],-1,0)),0))*100,2)</f>
        <v>2.0499999999999998</v>
      </c>
      <c r="I355" s="2" t="str" cm="1">
        <f t="array" aca="1" ref="I355" ca="1">_xlfn.IFS(
    ABS(Fuel_prices[[#This Row],[%_change]])&gt;50,"SEVERE IMPACT",
    ABS(Fuel_prices[[#This Row],[%_change]])&gt;25,"HIGH IMPACT",
    ABS(Fuel_prices[[#This Row],[%_change]])&gt;5,"MID IMPACT",
    ABS(Fuel_prices[[#This Row],[%_change]])&lt;=5,"LITTLE IMPACT"
)</f>
        <v>LITTLE IMPACT</v>
      </c>
    </row>
    <row r="356" spans="1:9" x14ac:dyDescent="0.25">
      <c r="A356" s="4">
        <v>36342</v>
      </c>
      <c r="B356" s="6" t="str">
        <f>_xlfn.CONCAT("Q",CEILING(Fuel_prices[[#This Row],[Month]]/3,1))</f>
        <v>Q3</v>
      </c>
      <c r="C356" s="6">
        <f>MONTH(Fuel_prices[[#This Row],[Date]])</f>
        <v>7</v>
      </c>
      <c r="D356" s="6" t="str">
        <f>TEXT(Fuel_prices[[#This Row],[Date]],"mmm")</f>
        <v>Jul</v>
      </c>
      <c r="E356" s="6">
        <f>YEAR(Fuel_prices[[#This Row],[Date]])</f>
        <v>1999</v>
      </c>
      <c r="F356" s="5">
        <v>18.986666666670001</v>
      </c>
      <c r="G356" s="2">
        <f ca="1">ROUND(IFERROR((Fuel_prices[[#This Row],[Crude_Oil_Price]]-OFFSET(Fuel_prices[[#This Row],[Crude_Oil_Price]],-1,0)),0),2)</f>
        <v>2.59</v>
      </c>
      <c r="H356" s="2">
        <f ca="1">ROUND((IFERROR((Fuel_prices[[#This Row],[Crude_Oil_Price]]-OFFSET(Fuel_prices[[#This Row],[Crude_Oil_Price]],-1,0))/(OFFSET(Fuel_prices[[#This Row],[Crude_Oil_Price]],-1,0)),0))*100,2)</f>
        <v>15.82</v>
      </c>
      <c r="I356" s="2" t="str" cm="1">
        <f t="array" aca="1" ref="I356" ca="1">_xlfn.IFS(
    ABS(Fuel_prices[[#This Row],[%_change]])&gt;50,"SEVERE IMPACT",
    ABS(Fuel_prices[[#This Row],[%_change]])&gt;25,"HIGH IMPACT",
    ABS(Fuel_prices[[#This Row],[%_change]])&gt;5,"MID IMPACT",
    ABS(Fuel_prices[[#This Row],[%_change]])&lt;=5,"LITTLE IMPACT"
)</f>
        <v>MID IMPACT</v>
      </c>
    </row>
    <row r="357" spans="1:9" x14ac:dyDescent="0.25">
      <c r="A357" s="4">
        <v>36373</v>
      </c>
      <c r="B357" s="6" t="str">
        <f>_xlfn.CONCAT("Q",CEILING(Fuel_prices[[#This Row],[Month]]/3,1))</f>
        <v>Q3</v>
      </c>
      <c r="C357" s="6">
        <f>MONTH(Fuel_prices[[#This Row],[Date]])</f>
        <v>8</v>
      </c>
      <c r="D357" s="6" t="str">
        <f>TEXT(Fuel_prices[[#This Row],[Date]],"mmm")</f>
        <v>Aug</v>
      </c>
      <c r="E357" s="6">
        <f>YEAR(Fuel_prices[[#This Row],[Date]])</f>
        <v>1999</v>
      </c>
      <c r="F357" s="5">
        <v>20.27</v>
      </c>
      <c r="G357" s="2">
        <f ca="1">ROUND(IFERROR((Fuel_prices[[#This Row],[Crude_Oil_Price]]-OFFSET(Fuel_prices[[#This Row],[Crude_Oil_Price]],-1,0)),0),2)</f>
        <v>1.28</v>
      </c>
      <c r="H357" s="2">
        <f ca="1">ROUND((IFERROR((Fuel_prices[[#This Row],[Crude_Oil_Price]]-OFFSET(Fuel_prices[[#This Row],[Crude_Oil_Price]],-1,0))/(OFFSET(Fuel_prices[[#This Row],[Crude_Oil_Price]],-1,0)),0))*100,2)</f>
        <v>6.76</v>
      </c>
      <c r="I357" s="2" t="str" cm="1">
        <f t="array" aca="1" ref="I357" ca="1">_xlfn.IFS(
    ABS(Fuel_prices[[#This Row],[%_change]])&gt;50,"SEVERE IMPACT",
    ABS(Fuel_prices[[#This Row],[%_change]])&gt;25,"HIGH IMPACT",
    ABS(Fuel_prices[[#This Row],[%_change]])&gt;5,"MID IMPACT",
    ABS(Fuel_prices[[#This Row],[%_change]])&lt;=5,"LITTLE IMPACT"
)</f>
        <v>MID IMPACT</v>
      </c>
    </row>
    <row r="358" spans="1:9" x14ac:dyDescent="0.25">
      <c r="A358" s="4">
        <v>36404</v>
      </c>
      <c r="B358" s="6" t="str">
        <f>_xlfn.CONCAT("Q",CEILING(Fuel_prices[[#This Row],[Month]]/3,1))</f>
        <v>Q3</v>
      </c>
      <c r="C358" s="6">
        <f>MONTH(Fuel_prices[[#This Row],[Date]])</f>
        <v>9</v>
      </c>
      <c r="D358" s="6" t="str">
        <f>TEXT(Fuel_prices[[#This Row],[Date]],"mmm")</f>
        <v>Sep</v>
      </c>
      <c r="E358" s="6">
        <f>YEAR(Fuel_prices[[#This Row],[Date]])</f>
        <v>1999</v>
      </c>
      <c r="F358" s="5">
        <v>22.7</v>
      </c>
      <c r="G358" s="2">
        <f ca="1">ROUND(IFERROR((Fuel_prices[[#This Row],[Crude_Oil_Price]]-OFFSET(Fuel_prices[[#This Row],[Crude_Oil_Price]],-1,0)),0),2)</f>
        <v>2.4300000000000002</v>
      </c>
      <c r="H358" s="2">
        <f ca="1">ROUND((IFERROR((Fuel_prices[[#This Row],[Crude_Oil_Price]]-OFFSET(Fuel_prices[[#This Row],[Crude_Oil_Price]],-1,0))/(OFFSET(Fuel_prices[[#This Row],[Crude_Oil_Price]],-1,0)),0))*100,2)</f>
        <v>11.99</v>
      </c>
      <c r="I358" s="2" t="str" cm="1">
        <f t="array" aca="1" ref="I358" ca="1">_xlfn.IFS(
    ABS(Fuel_prices[[#This Row],[%_change]])&gt;50,"SEVERE IMPACT",
    ABS(Fuel_prices[[#This Row],[%_change]])&gt;25,"HIGH IMPACT",
    ABS(Fuel_prices[[#This Row],[%_change]])&gt;5,"MID IMPACT",
    ABS(Fuel_prices[[#This Row],[%_change]])&lt;=5,"LITTLE IMPACT"
)</f>
        <v>MID IMPACT</v>
      </c>
    </row>
    <row r="359" spans="1:9" x14ac:dyDescent="0.25">
      <c r="A359" s="4">
        <v>36434</v>
      </c>
      <c r="B359" s="6" t="str">
        <f>_xlfn.CONCAT("Q",CEILING(Fuel_prices[[#This Row],[Month]]/3,1))</f>
        <v>Q4</v>
      </c>
      <c r="C359" s="6">
        <f>MONTH(Fuel_prices[[#This Row],[Date]])</f>
        <v>10</v>
      </c>
      <c r="D359" s="6" t="str">
        <f>TEXT(Fuel_prices[[#This Row],[Date]],"mmm")</f>
        <v>Oct</v>
      </c>
      <c r="E359" s="6">
        <f>YEAR(Fuel_prices[[#This Row],[Date]])</f>
        <v>1999</v>
      </c>
      <c r="F359" s="5">
        <v>21.95</v>
      </c>
      <c r="G359" s="2">
        <f ca="1">ROUND(IFERROR((Fuel_prices[[#This Row],[Crude_Oil_Price]]-OFFSET(Fuel_prices[[#This Row],[Crude_Oil_Price]],-1,0)),0),2)</f>
        <v>-0.75</v>
      </c>
      <c r="H359" s="2">
        <f ca="1">ROUND((IFERROR((Fuel_prices[[#This Row],[Crude_Oil_Price]]-OFFSET(Fuel_prices[[#This Row],[Crude_Oil_Price]],-1,0))/(OFFSET(Fuel_prices[[#This Row],[Crude_Oil_Price]],-1,0)),0))*100,2)</f>
        <v>-3.3</v>
      </c>
      <c r="I359" s="2" t="str" cm="1">
        <f t="array" aca="1" ref="I359" ca="1">_xlfn.IFS(
    ABS(Fuel_prices[[#This Row],[%_change]])&gt;50,"SEVERE IMPACT",
    ABS(Fuel_prices[[#This Row],[%_change]])&gt;25,"HIGH IMPACT",
    ABS(Fuel_prices[[#This Row],[%_change]])&gt;5,"MID IMPACT",
    ABS(Fuel_prices[[#This Row],[%_change]])&lt;=5,"LITTLE IMPACT"
)</f>
        <v>LITTLE IMPACT</v>
      </c>
    </row>
    <row r="360" spans="1:9" x14ac:dyDescent="0.25">
      <c r="A360" s="4">
        <v>36465</v>
      </c>
      <c r="B360" s="6" t="str">
        <f>_xlfn.CONCAT("Q",CEILING(Fuel_prices[[#This Row],[Month]]/3,1))</f>
        <v>Q4</v>
      </c>
      <c r="C360" s="6">
        <f>MONTH(Fuel_prices[[#This Row],[Date]])</f>
        <v>11</v>
      </c>
      <c r="D360" s="6" t="str">
        <f>TEXT(Fuel_prices[[#This Row],[Date]],"mmm")</f>
        <v>Nov</v>
      </c>
      <c r="E360" s="6">
        <f>YEAR(Fuel_prices[[#This Row],[Date]])</f>
        <v>1999</v>
      </c>
      <c r="F360" s="5">
        <v>24.163333333330002</v>
      </c>
      <c r="G360" s="2">
        <f ca="1">ROUND(IFERROR((Fuel_prices[[#This Row],[Crude_Oil_Price]]-OFFSET(Fuel_prices[[#This Row],[Crude_Oil_Price]],-1,0)),0),2)</f>
        <v>2.21</v>
      </c>
      <c r="H360" s="2">
        <f ca="1">ROUND((IFERROR((Fuel_prices[[#This Row],[Crude_Oil_Price]]-OFFSET(Fuel_prices[[#This Row],[Crude_Oil_Price]],-1,0))/(OFFSET(Fuel_prices[[#This Row],[Crude_Oil_Price]],-1,0)),0))*100,2)</f>
        <v>10.08</v>
      </c>
      <c r="I360" s="2" t="str" cm="1">
        <f t="array" aca="1" ref="I360" ca="1">_xlfn.IFS(
    ABS(Fuel_prices[[#This Row],[%_change]])&gt;50,"SEVERE IMPACT",
    ABS(Fuel_prices[[#This Row],[%_change]])&gt;25,"HIGH IMPACT",
    ABS(Fuel_prices[[#This Row],[%_change]])&gt;5,"MID IMPACT",
    ABS(Fuel_prices[[#This Row],[%_change]])&lt;=5,"LITTLE IMPACT"
)</f>
        <v>MID IMPACT</v>
      </c>
    </row>
    <row r="361" spans="1:9" x14ac:dyDescent="0.25">
      <c r="A361" s="4">
        <v>36495</v>
      </c>
      <c r="B361" s="6" t="str">
        <f>_xlfn.CONCAT("Q",CEILING(Fuel_prices[[#This Row],[Month]]/3,1))</f>
        <v>Q4</v>
      </c>
      <c r="C361" s="6">
        <f>MONTH(Fuel_prices[[#This Row],[Date]])</f>
        <v>12</v>
      </c>
      <c r="D361" s="6" t="str">
        <f>TEXT(Fuel_prices[[#This Row],[Date]],"mmm")</f>
        <v>Dec</v>
      </c>
      <c r="E361" s="6">
        <f>YEAR(Fuel_prices[[#This Row],[Date]])</f>
        <v>1999</v>
      </c>
      <c r="F361" s="5">
        <v>25.1</v>
      </c>
      <c r="G361" s="2">
        <f ca="1">ROUND(IFERROR((Fuel_prices[[#This Row],[Crude_Oil_Price]]-OFFSET(Fuel_prices[[#This Row],[Crude_Oil_Price]],-1,0)),0),2)</f>
        <v>0.94</v>
      </c>
      <c r="H361" s="2">
        <f ca="1">ROUND((IFERROR((Fuel_prices[[#This Row],[Crude_Oil_Price]]-OFFSET(Fuel_prices[[#This Row],[Crude_Oil_Price]],-1,0))/(OFFSET(Fuel_prices[[#This Row],[Crude_Oil_Price]],-1,0)),0))*100,2)</f>
        <v>3.88</v>
      </c>
      <c r="I361" s="2" t="str" cm="1">
        <f t="array" aca="1" ref="I361" ca="1">_xlfn.IFS(
    ABS(Fuel_prices[[#This Row],[%_change]])&gt;50,"SEVERE IMPACT",
    ABS(Fuel_prices[[#This Row],[%_change]])&gt;25,"HIGH IMPACT",
    ABS(Fuel_prices[[#This Row],[%_change]])&gt;5,"MID IMPACT",
    ABS(Fuel_prices[[#This Row],[%_change]])&lt;=5,"LITTLE IMPACT"
)</f>
        <v>LITTLE IMPACT</v>
      </c>
    </row>
    <row r="362" spans="1:9" x14ac:dyDescent="0.25">
      <c r="A362" s="4">
        <v>36526</v>
      </c>
      <c r="B362" s="6" t="str">
        <f>_xlfn.CONCAT("Q",CEILING(Fuel_prices[[#This Row],[Month]]/3,1))</f>
        <v>Q1</v>
      </c>
      <c r="C362" s="6">
        <f>MONTH(Fuel_prices[[#This Row],[Date]])</f>
        <v>1</v>
      </c>
      <c r="D362" s="6" t="str">
        <f>TEXT(Fuel_prices[[#This Row],[Date]],"mmm")</f>
        <v>Jan</v>
      </c>
      <c r="E362" s="6">
        <f>YEAR(Fuel_prices[[#This Row],[Date]])</f>
        <v>2000</v>
      </c>
      <c r="F362" s="5">
        <v>25.31</v>
      </c>
      <c r="G362" s="2">
        <f ca="1">ROUND(IFERROR((Fuel_prices[[#This Row],[Crude_Oil_Price]]-OFFSET(Fuel_prices[[#This Row],[Crude_Oil_Price]],-1,0)),0),2)</f>
        <v>0.21</v>
      </c>
      <c r="H362" s="2">
        <f ca="1">ROUND((IFERROR((Fuel_prices[[#This Row],[Crude_Oil_Price]]-OFFSET(Fuel_prices[[#This Row],[Crude_Oil_Price]],-1,0))/(OFFSET(Fuel_prices[[#This Row],[Crude_Oil_Price]],-1,0)),0))*100,2)</f>
        <v>0.84</v>
      </c>
      <c r="I362" s="2" t="str" cm="1">
        <f t="array" aca="1" ref="I362" ca="1">_xlfn.IFS(
    ABS(Fuel_prices[[#This Row],[%_change]])&gt;50,"SEVERE IMPACT",
    ABS(Fuel_prices[[#This Row],[%_change]])&gt;25,"HIGH IMPACT",
    ABS(Fuel_prices[[#This Row],[%_change]])&gt;5,"MID IMPACT",
    ABS(Fuel_prices[[#This Row],[%_change]])&lt;=5,"LITTLE IMPACT"
)</f>
        <v>LITTLE IMPACT</v>
      </c>
    </row>
    <row r="363" spans="1:9" x14ac:dyDescent="0.25">
      <c r="A363" s="4">
        <v>36557</v>
      </c>
      <c r="B363" s="6" t="str">
        <f>_xlfn.CONCAT("Q",CEILING(Fuel_prices[[#This Row],[Month]]/3,1))</f>
        <v>Q1</v>
      </c>
      <c r="C363" s="6">
        <f>MONTH(Fuel_prices[[#This Row],[Date]])</f>
        <v>2</v>
      </c>
      <c r="D363" s="6" t="str">
        <f>TEXT(Fuel_prices[[#This Row],[Date]],"mmm")</f>
        <v>Feb</v>
      </c>
      <c r="E363" s="6">
        <f>YEAR(Fuel_prices[[#This Row],[Date]])</f>
        <v>2000</v>
      </c>
      <c r="F363" s="5">
        <v>27.220966666670002</v>
      </c>
      <c r="G363" s="2">
        <f ca="1">ROUND(IFERROR((Fuel_prices[[#This Row],[Crude_Oil_Price]]-OFFSET(Fuel_prices[[#This Row],[Crude_Oil_Price]],-1,0)),0),2)</f>
        <v>1.91</v>
      </c>
      <c r="H363" s="2">
        <f ca="1">ROUND((IFERROR((Fuel_prices[[#This Row],[Crude_Oil_Price]]-OFFSET(Fuel_prices[[#This Row],[Crude_Oil_Price]],-1,0))/(OFFSET(Fuel_prices[[#This Row],[Crude_Oil_Price]],-1,0)),0))*100,2)</f>
        <v>7.55</v>
      </c>
      <c r="I363" s="2" t="str" cm="1">
        <f t="array" aca="1" ref="I363" ca="1">_xlfn.IFS(
    ABS(Fuel_prices[[#This Row],[%_change]])&gt;50,"SEVERE IMPACT",
    ABS(Fuel_prices[[#This Row],[%_change]])&gt;25,"HIGH IMPACT",
    ABS(Fuel_prices[[#This Row],[%_change]])&gt;5,"MID IMPACT",
    ABS(Fuel_prices[[#This Row],[%_change]])&lt;=5,"LITTLE IMPACT"
)</f>
        <v>MID IMPACT</v>
      </c>
    </row>
    <row r="364" spans="1:9" x14ac:dyDescent="0.25">
      <c r="A364" s="4">
        <v>36586</v>
      </c>
      <c r="B364" s="6" t="str">
        <f>_xlfn.CONCAT("Q",CEILING(Fuel_prices[[#This Row],[Month]]/3,1))</f>
        <v>Q1</v>
      </c>
      <c r="C364" s="6">
        <f>MONTH(Fuel_prices[[#This Row],[Date]])</f>
        <v>3</v>
      </c>
      <c r="D364" s="6" t="str">
        <f>TEXT(Fuel_prices[[#This Row],[Date]],"mmm")</f>
        <v>Mar</v>
      </c>
      <c r="E364" s="6">
        <f>YEAR(Fuel_prices[[#This Row],[Date]])</f>
        <v>2000</v>
      </c>
      <c r="F364" s="5">
        <v>27.49</v>
      </c>
      <c r="G364" s="2">
        <f ca="1">ROUND(IFERROR((Fuel_prices[[#This Row],[Crude_Oil_Price]]-OFFSET(Fuel_prices[[#This Row],[Crude_Oil_Price]],-1,0)),0),2)</f>
        <v>0.27</v>
      </c>
      <c r="H364" s="2">
        <f ca="1">ROUND((IFERROR((Fuel_prices[[#This Row],[Crude_Oil_Price]]-OFFSET(Fuel_prices[[#This Row],[Crude_Oil_Price]],-1,0))/(OFFSET(Fuel_prices[[#This Row],[Crude_Oil_Price]],-1,0)),0))*100,2)</f>
        <v>0.99</v>
      </c>
      <c r="I364" s="2" t="str" cm="1">
        <f t="array" aca="1" ref="I364" ca="1">_xlfn.IFS(
    ABS(Fuel_prices[[#This Row],[%_change]])&gt;50,"SEVERE IMPACT",
    ABS(Fuel_prices[[#This Row],[%_change]])&gt;25,"HIGH IMPACT",
    ABS(Fuel_prices[[#This Row],[%_change]])&gt;5,"MID IMPACT",
    ABS(Fuel_prices[[#This Row],[%_change]])&lt;=5,"LITTLE IMPACT"
)</f>
        <v>LITTLE IMPACT</v>
      </c>
    </row>
    <row r="365" spans="1:9" x14ac:dyDescent="0.25">
      <c r="A365" s="4">
        <v>36617</v>
      </c>
      <c r="B365" s="6" t="str">
        <f>_xlfn.CONCAT("Q",CEILING(Fuel_prices[[#This Row],[Month]]/3,1))</f>
        <v>Q2</v>
      </c>
      <c r="C365" s="6">
        <f>MONTH(Fuel_prices[[#This Row],[Date]])</f>
        <v>4</v>
      </c>
      <c r="D365" s="6" t="str">
        <f>TEXT(Fuel_prices[[#This Row],[Date]],"mmm")</f>
        <v>Apr</v>
      </c>
      <c r="E365" s="6">
        <f>YEAR(Fuel_prices[[#This Row],[Date]])</f>
        <v>2000</v>
      </c>
      <c r="F365" s="5">
        <v>23.47</v>
      </c>
      <c r="G365" s="2">
        <f ca="1">ROUND(IFERROR((Fuel_prices[[#This Row],[Crude_Oil_Price]]-OFFSET(Fuel_prices[[#This Row],[Crude_Oil_Price]],-1,0)),0),2)</f>
        <v>-4.0199999999999996</v>
      </c>
      <c r="H365" s="2">
        <f ca="1">ROUND((IFERROR((Fuel_prices[[#This Row],[Crude_Oil_Price]]-OFFSET(Fuel_prices[[#This Row],[Crude_Oil_Price]],-1,0))/(OFFSET(Fuel_prices[[#This Row],[Crude_Oil_Price]],-1,0)),0))*100,2)</f>
        <v>-14.62</v>
      </c>
      <c r="I365" s="2" t="str" cm="1">
        <f t="array" aca="1" ref="I365" ca="1">_xlfn.IFS(
    ABS(Fuel_prices[[#This Row],[%_change]])&gt;50,"SEVERE IMPACT",
    ABS(Fuel_prices[[#This Row],[%_change]])&gt;25,"HIGH IMPACT",
    ABS(Fuel_prices[[#This Row],[%_change]])&gt;5,"MID IMPACT",
    ABS(Fuel_prices[[#This Row],[%_change]])&lt;=5,"LITTLE IMPACT"
)</f>
        <v>MID IMPACT</v>
      </c>
    </row>
    <row r="366" spans="1:9" x14ac:dyDescent="0.25">
      <c r="A366" s="4">
        <v>36647</v>
      </c>
      <c r="B366" s="6" t="str">
        <f>_xlfn.CONCAT("Q",CEILING(Fuel_prices[[#This Row],[Month]]/3,1))</f>
        <v>Q2</v>
      </c>
      <c r="C366" s="6">
        <f>MONTH(Fuel_prices[[#This Row],[Date]])</f>
        <v>5</v>
      </c>
      <c r="D366" s="6" t="str">
        <f>TEXT(Fuel_prices[[#This Row],[Date]],"mmm")</f>
        <v>May</v>
      </c>
      <c r="E366" s="6">
        <f>YEAR(Fuel_prices[[#This Row],[Date]])</f>
        <v>2000</v>
      </c>
      <c r="F366" s="5">
        <v>27.18666666667</v>
      </c>
      <c r="G366" s="2">
        <f ca="1">ROUND(IFERROR((Fuel_prices[[#This Row],[Crude_Oil_Price]]-OFFSET(Fuel_prices[[#This Row],[Crude_Oil_Price]],-1,0)),0),2)</f>
        <v>3.72</v>
      </c>
      <c r="H366" s="2">
        <f ca="1">ROUND((IFERROR((Fuel_prices[[#This Row],[Crude_Oil_Price]]-OFFSET(Fuel_prices[[#This Row],[Crude_Oil_Price]],-1,0))/(OFFSET(Fuel_prices[[#This Row],[Crude_Oil_Price]],-1,0)),0))*100,2)</f>
        <v>15.84</v>
      </c>
      <c r="I366" s="2" t="str" cm="1">
        <f t="array" aca="1" ref="I366" ca="1">_xlfn.IFS(
    ABS(Fuel_prices[[#This Row],[%_change]])&gt;50,"SEVERE IMPACT",
    ABS(Fuel_prices[[#This Row],[%_change]])&gt;25,"HIGH IMPACT",
    ABS(Fuel_prices[[#This Row],[%_change]])&gt;5,"MID IMPACT",
    ABS(Fuel_prices[[#This Row],[%_change]])&lt;=5,"LITTLE IMPACT"
)</f>
        <v>MID IMPACT</v>
      </c>
    </row>
    <row r="367" spans="1:9" x14ac:dyDescent="0.25">
      <c r="A367" s="4">
        <v>36678</v>
      </c>
      <c r="B367" s="6" t="str">
        <f>_xlfn.CONCAT("Q",CEILING(Fuel_prices[[#This Row],[Month]]/3,1))</f>
        <v>Q2</v>
      </c>
      <c r="C367" s="6">
        <f>MONTH(Fuel_prices[[#This Row],[Date]])</f>
        <v>6</v>
      </c>
      <c r="D367" s="6" t="str">
        <f>TEXT(Fuel_prices[[#This Row],[Date]],"mmm")</f>
        <v>Jun</v>
      </c>
      <c r="E367" s="6">
        <f>YEAR(Fuel_prices[[#This Row],[Date]])</f>
        <v>2000</v>
      </c>
      <c r="F367" s="5">
        <v>29.620766666670001</v>
      </c>
      <c r="G367" s="2">
        <f ca="1">ROUND(IFERROR((Fuel_prices[[#This Row],[Crude_Oil_Price]]-OFFSET(Fuel_prices[[#This Row],[Crude_Oil_Price]],-1,0)),0),2)</f>
        <v>2.4300000000000002</v>
      </c>
      <c r="H367" s="2">
        <f ca="1">ROUND((IFERROR((Fuel_prices[[#This Row],[Crude_Oil_Price]]-OFFSET(Fuel_prices[[#This Row],[Crude_Oil_Price]],-1,0))/(OFFSET(Fuel_prices[[#This Row],[Crude_Oil_Price]],-1,0)),0))*100,2)</f>
        <v>8.9499999999999993</v>
      </c>
      <c r="I367" s="2" t="str" cm="1">
        <f t="array" aca="1" ref="I367" ca="1">_xlfn.IFS(
    ABS(Fuel_prices[[#This Row],[%_change]])&gt;50,"SEVERE IMPACT",
    ABS(Fuel_prices[[#This Row],[%_change]])&gt;25,"HIGH IMPACT",
    ABS(Fuel_prices[[#This Row],[%_change]])&gt;5,"MID IMPACT",
    ABS(Fuel_prices[[#This Row],[%_change]])&lt;=5,"LITTLE IMPACT"
)</f>
        <v>MID IMPACT</v>
      </c>
    </row>
    <row r="368" spans="1:9" x14ac:dyDescent="0.25">
      <c r="A368" s="4">
        <v>36708</v>
      </c>
      <c r="B368" s="6" t="str">
        <f>_xlfn.CONCAT("Q",CEILING(Fuel_prices[[#This Row],[Month]]/3,1))</f>
        <v>Q3</v>
      </c>
      <c r="C368" s="6">
        <f>MONTH(Fuel_prices[[#This Row],[Date]])</f>
        <v>7</v>
      </c>
      <c r="D368" s="6" t="str">
        <f>TEXT(Fuel_prices[[#This Row],[Date]],"mmm")</f>
        <v>Jul</v>
      </c>
      <c r="E368" s="6">
        <f>YEAR(Fuel_prices[[#This Row],[Date]])</f>
        <v>2000</v>
      </c>
      <c r="F368" s="5">
        <v>28.176666666669998</v>
      </c>
      <c r="G368" s="2">
        <f ca="1">ROUND(IFERROR((Fuel_prices[[#This Row],[Crude_Oil_Price]]-OFFSET(Fuel_prices[[#This Row],[Crude_Oil_Price]],-1,0)),0),2)</f>
        <v>-1.44</v>
      </c>
      <c r="H368" s="2">
        <f ca="1">ROUND((IFERROR((Fuel_prices[[#This Row],[Crude_Oil_Price]]-OFFSET(Fuel_prices[[#This Row],[Crude_Oil_Price]],-1,0))/(OFFSET(Fuel_prices[[#This Row],[Crude_Oil_Price]],-1,0)),0))*100,2)</f>
        <v>-4.88</v>
      </c>
      <c r="I368" s="2" t="str" cm="1">
        <f t="array" aca="1" ref="I368" ca="1">_xlfn.IFS(
    ABS(Fuel_prices[[#This Row],[%_change]])&gt;50,"SEVERE IMPACT",
    ABS(Fuel_prices[[#This Row],[%_change]])&gt;25,"HIGH IMPACT",
    ABS(Fuel_prices[[#This Row],[%_change]])&gt;5,"MID IMPACT",
    ABS(Fuel_prices[[#This Row],[%_change]])&lt;=5,"LITTLE IMPACT"
)</f>
        <v>LITTLE IMPACT</v>
      </c>
    </row>
    <row r="369" spans="1:9" x14ac:dyDescent="0.25">
      <c r="A369" s="4">
        <v>36739</v>
      </c>
      <c r="B369" s="6" t="str">
        <f>_xlfn.CONCAT("Q",CEILING(Fuel_prices[[#This Row],[Month]]/3,1))</f>
        <v>Q3</v>
      </c>
      <c r="C369" s="6">
        <f>MONTH(Fuel_prices[[#This Row],[Date]])</f>
        <v>8</v>
      </c>
      <c r="D369" s="6" t="str">
        <f>TEXT(Fuel_prices[[#This Row],[Date]],"mmm")</f>
        <v>Aug</v>
      </c>
      <c r="E369" s="6">
        <f>YEAR(Fuel_prices[[#This Row],[Date]])</f>
        <v>2000</v>
      </c>
      <c r="F369" s="5">
        <v>29.262899999999998</v>
      </c>
      <c r="G369" s="2">
        <f ca="1">ROUND(IFERROR((Fuel_prices[[#This Row],[Crude_Oil_Price]]-OFFSET(Fuel_prices[[#This Row],[Crude_Oil_Price]],-1,0)),0),2)</f>
        <v>1.0900000000000001</v>
      </c>
      <c r="H369" s="2">
        <f ca="1">ROUND((IFERROR((Fuel_prices[[#This Row],[Crude_Oil_Price]]-OFFSET(Fuel_prices[[#This Row],[Crude_Oil_Price]],-1,0))/(OFFSET(Fuel_prices[[#This Row],[Crude_Oil_Price]],-1,0)),0))*100,2)</f>
        <v>3.86</v>
      </c>
      <c r="I369" s="2" t="str" cm="1">
        <f t="array" aca="1" ref="I369" ca="1">_xlfn.IFS(
    ABS(Fuel_prices[[#This Row],[%_change]])&gt;50,"SEVERE IMPACT",
    ABS(Fuel_prices[[#This Row],[%_change]])&gt;25,"HIGH IMPACT",
    ABS(Fuel_prices[[#This Row],[%_change]])&gt;5,"MID IMPACT",
    ABS(Fuel_prices[[#This Row],[%_change]])&lt;=5,"LITTLE IMPACT"
)</f>
        <v>LITTLE IMPACT</v>
      </c>
    </row>
    <row r="370" spans="1:9" x14ac:dyDescent="0.25">
      <c r="A370" s="4">
        <v>36770</v>
      </c>
      <c r="B370" s="6" t="str">
        <f>_xlfn.CONCAT("Q",CEILING(Fuel_prices[[#This Row],[Month]]/3,1))</f>
        <v>Q3</v>
      </c>
      <c r="C370" s="6">
        <f>MONTH(Fuel_prices[[#This Row],[Date]])</f>
        <v>9</v>
      </c>
      <c r="D370" s="6" t="str">
        <f>TEXT(Fuel_prices[[#This Row],[Date]],"mmm")</f>
        <v>Sep</v>
      </c>
      <c r="E370" s="6">
        <f>YEAR(Fuel_prices[[#This Row],[Date]])</f>
        <v>2000</v>
      </c>
      <c r="F370" s="5">
        <v>32.082833333330001</v>
      </c>
      <c r="G370" s="2">
        <f ca="1">ROUND(IFERROR((Fuel_prices[[#This Row],[Crude_Oil_Price]]-OFFSET(Fuel_prices[[#This Row],[Crude_Oil_Price]],-1,0)),0),2)</f>
        <v>2.82</v>
      </c>
      <c r="H370" s="2">
        <f ca="1">ROUND((IFERROR((Fuel_prices[[#This Row],[Crude_Oil_Price]]-OFFSET(Fuel_prices[[#This Row],[Crude_Oil_Price]],-1,0))/(OFFSET(Fuel_prices[[#This Row],[Crude_Oil_Price]],-1,0)),0))*100,2)</f>
        <v>9.64</v>
      </c>
      <c r="I370" s="2" t="str" cm="1">
        <f t="array" aca="1" ref="I370" ca="1">_xlfn.IFS(
    ABS(Fuel_prices[[#This Row],[%_change]])&gt;50,"SEVERE IMPACT",
    ABS(Fuel_prices[[#This Row],[%_change]])&gt;25,"HIGH IMPACT",
    ABS(Fuel_prices[[#This Row],[%_change]])&gt;5,"MID IMPACT",
    ABS(Fuel_prices[[#This Row],[%_change]])&lt;=5,"LITTLE IMPACT"
)</f>
        <v>MID IMPACT</v>
      </c>
    </row>
    <row r="371" spans="1:9" x14ac:dyDescent="0.25">
      <c r="A371" s="4">
        <v>36800</v>
      </c>
      <c r="B371" s="6" t="str">
        <f>_xlfn.CONCAT("Q",CEILING(Fuel_prices[[#This Row],[Month]]/3,1))</f>
        <v>Q4</v>
      </c>
      <c r="C371" s="6">
        <f>MONTH(Fuel_prices[[#This Row],[Date]])</f>
        <v>10</v>
      </c>
      <c r="D371" s="6" t="str">
        <f>TEXT(Fuel_prices[[#This Row],[Date]],"mmm")</f>
        <v>Oct</v>
      </c>
      <c r="E371" s="6">
        <f>YEAR(Fuel_prices[[#This Row],[Date]])</f>
        <v>2000</v>
      </c>
      <c r="F371" s="5">
        <v>31.40016666667</v>
      </c>
      <c r="G371" s="2">
        <f ca="1">ROUND(IFERROR((Fuel_prices[[#This Row],[Crude_Oil_Price]]-OFFSET(Fuel_prices[[#This Row],[Crude_Oil_Price]],-1,0)),0),2)</f>
        <v>-0.68</v>
      </c>
      <c r="H371" s="2">
        <f ca="1">ROUND((IFERROR((Fuel_prices[[#This Row],[Crude_Oil_Price]]-OFFSET(Fuel_prices[[#This Row],[Crude_Oil_Price]],-1,0))/(OFFSET(Fuel_prices[[#This Row],[Crude_Oil_Price]],-1,0)),0))*100,2)</f>
        <v>-2.13</v>
      </c>
      <c r="I371" s="2" t="str" cm="1">
        <f t="array" aca="1" ref="I371" ca="1">_xlfn.IFS(
    ABS(Fuel_prices[[#This Row],[%_change]])&gt;50,"SEVERE IMPACT",
    ABS(Fuel_prices[[#This Row],[%_change]])&gt;25,"HIGH IMPACT",
    ABS(Fuel_prices[[#This Row],[%_change]])&gt;5,"MID IMPACT",
    ABS(Fuel_prices[[#This Row],[%_change]])&lt;=5,"LITTLE IMPACT"
)</f>
        <v>LITTLE IMPACT</v>
      </c>
    </row>
    <row r="372" spans="1:9" x14ac:dyDescent="0.25">
      <c r="A372" s="4">
        <v>36831</v>
      </c>
      <c r="B372" s="6" t="str">
        <f>_xlfn.CONCAT("Q",CEILING(Fuel_prices[[#This Row],[Month]]/3,1))</f>
        <v>Q4</v>
      </c>
      <c r="C372" s="6">
        <f>MONTH(Fuel_prices[[#This Row],[Date]])</f>
        <v>11</v>
      </c>
      <c r="D372" s="6" t="str">
        <f>TEXT(Fuel_prices[[#This Row],[Date]],"mmm")</f>
        <v>Nov</v>
      </c>
      <c r="E372" s="6">
        <f>YEAR(Fuel_prices[[#This Row],[Date]])</f>
        <v>2000</v>
      </c>
      <c r="F372" s="5">
        <v>32.331000000000003</v>
      </c>
      <c r="G372" s="2">
        <f ca="1">ROUND(IFERROR((Fuel_prices[[#This Row],[Crude_Oil_Price]]-OFFSET(Fuel_prices[[#This Row],[Crude_Oil_Price]],-1,0)),0),2)</f>
        <v>0.93</v>
      </c>
      <c r="H372" s="2">
        <f ca="1">ROUND((IFERROR((Fuel_prices[[#This Row],[Crude_Oil_Price]]-OFFSET(Fuel_prices[[#This Row],[Crude_Oil_Price]],-1,0))/(OFFSET(Fuel_prices[[#This Row],[Crude_Oil_Price]],-1,0)),0))*100,2)</f>
        <v>2.96</v>
      </c>
      <c r="I372" s="2" t="str" cm="1">
        <f t="array" aca="1" ref="I372" ca="1">_xlfn.IFS(
    ABS(Fuel_prices[[#This Row],[%_change]])&gt;50,"SEVERE IMPACT",
    ABS(Fuel_prices[[#This Row],[%_change]])&gt;25,"HIGH IMPACT",
    ABS(Fuel_prices[[#This Row],[%_change]])&gt;5,"MID IMPACT",
    ABS(Fuel_prices[[#This Row],[%_change]])&lt;=5,"LITTLE IMPACT"
)</f>
        <v>LITTLE IMPACT</v>
      </c>
    </row>
    <row r="373" spans="1:9" x14ac:dyDescent="0.25">
      <c r="A373" s="4">
        <v>36861</v>
      </c>
      <c r="B373" s="6" t="str">
        <f>_xlfn.CONCAT("Q",CEILING(Fuel_prices[[#This Row],[Month]]/3,1))</f>
        <v>Q4</v>
      </c>
      <c r="C373" s="6">
        <f>MONTH(Fuel_prices[[#This Row],[Date]])</f>
        <v>12</v>
      </c>
      <c r="D373" s="6" t="str">
        <f>TEXT(Fuel_prices[[#This Row],[Date]],"mmm")</f>
        <v>Dec</v>
      </c>
      <c r="E373" s="6">
        <f>YEAR(Fuel_prices[[#This Row],[Date]])</f>
        <v>2000</v>
      </c>
      <c r="F373" s="5">
        <v>25.204666666670001</v>
      </c>
      <c r="G373" s="2">
        <f ca="1">ROUND(IFERROR((Fuel_prices[[#This Row],[Crude_Oil_Price]]-OFFSET(Fuel_prices[[#This Row],[Crude_Oil_Price]],-1,0)),0),2)</f>
        <v>-7.13</v>
      </c>
      <c r="H373" s="2">
        <f ca="1">ROUND((IFERROR((Fuel_prices[[#This Row],[Crude_Oil_Price]]-OFFSET(Fuel_prices[[#This Row],[Crude_Oil_Price]],-1,0))/(OFFSET(Fuel_prices[[#This Row],[Crude_Oil_Price]],-1,0)),0))*100,2)</f>
        <v>-22.04</v>
      </c>
      <c r="I373" s="2" t="str" cm="1">
        <f t="array" aca="1" ref="I373" ca="1">_xlfn.IFS(
    ABS(Fuel_prices[[#This Row],[%_change]])&gt;50,"SEVERE IMPACT",
    ABS(Fuel_prices[[#This Row],[%_change]])&gt;25,"HIGH IMPACT",
    ABS(Fuel_prices[[#This Row],[%_change]])&gt;5,"MID IMPACT",
    ABS(Fuel_prices[[#This Row],[%_change]])&lt;=5,"LITTLE IMPACT"
)</f>
        <v>MID IMPACT</v>
      </c>
    </row>
    <row r="374" spans="1:9" x14ac:dyDescent="0.25">
      <c r="A374" s="4">
        <v>36892</v>
      </c>
      <c r="B374" s="6" t="str">
        <f>_xlfn.CONCAT("Q",CEILING(Fuel_prices[[#This Row],[Month]]/3,1))</f>
        <v>Q1</v>
      </c>
      <c r="C374" s="6">
        <f>MONTH(Fuel_prices[[#This Row],[Date]])</f>
        <v>1</v>
      </c>
      <c r="D374" s="6" t="str">
        <f>TEXT(Fuel_prices[[#This Row],[Date]],"mmm")</f>
        <v>Jan</v>
      </c>
      <c r="E374" s="6">
        <f>YEAR(Fuel_prices[[#This Row],[Date]])</f>
        <v>2001</v>
      </c>
      <c r="F374" s="5">
        <v>25.957272727269999</v>
      </c>
      <c r="G374" s="2">
        <f ca="1">ROUND(IFERROR((Fuel_prices[[#This Row],[Crude_Oil_Price]]-OFFSET(Fuel_prices[[#This Row],[Crude_Oil_Price]],-1,0)),0),2)</f>
        <v>0.75</v>
      </c>
      <c r="H374" s="2">
        <f ca="1">ROUND((IFERROR((Fuel_prices[[#This Row],[Crude_Oil_Price]]-OFFSET(Fuel_prices[[#This Row],[Crude_Oil_Price]],-1,0))/(OFFSET(Fuel_prices[[#This Row],[Crude_Oil_Price]],-1,0)),0))*100,2)</f>
        <v>2.99</v>
      </c>
      <c r="I374" s="2" t="str" cm="1">
        <f t="array" aca="1" ref="I374" ca="1">_xlfn.IFS(
    ABS(Fuel_prices[[#This Row],[%_change]])&gt;50,"SEVERE IMPACT",
    ABS(Fuel_prices[[#This Row],[%_change]])&gt;25,"HIGH IMPACT",
    ABS(Fuel_prices[[#This Row],[%_change]])&gt;5,"MID IMPACT",
    ABS(Fuel_prices[[#This Row],[%_change]])&lt;=5,"LITTLE IMPACT"
)</f>
        <v>LITTLE IMPACT</v>
      </c>
    </row>
    <row r="375" spans="1:9" x14ac:dyDescent="0.25">
      <c r="A375" s="4">
        <v>36923</v>
      </c>
      <c r="B375" s="6" t="str">
        <f>_xlfn.CONCAT("Q",CEILING(Fuel_prices[[#This Row],[Month]]/3,1))</f>
        <v>Q1</v>
      </c>
      <c r="C375" s="6">
        <f>MONTH(Fuel_prices[[#This Row],[Date]])</f>
        <v>2</v>
      </c>
      <c r="D375" s="6" t="str">
        <f>TEXT(Fuel_prices[[#This Row],[Date]],"mmm")</f>
        <v>Feb</v>
      </c>
      <c r="E375" s="6">
        <f>YEAR(Fuel_prices[[#This Row],[Date]])</f>
        <v>2001</v>
      </c>
      <c r="F375" s="5">
        <v>27.23883333333</v>
      </c>
      <c r="G375" s="2">
        <f ca="1">ROUND(IFERROR((Fuel_prices[[#This Row],[Crude_Oil_Price]]-OFFSET(Fuel_prices[[#This Row],[Crude_Oil_Price]],-1,0)),0),2)</f>
        <v>1.28</v>
      </c>
      <c r="H375" s="2">
        <f ca="1">ROUND((IFERROR((Fuel_prices[[#This Row],[Crude_Oil_Price]]-OFFSET(Fuel_prices[[#This Row],[Crude_Oil_Price]],-1,0))/(OFFSET(Fuel_prices[[#This Row],[Crude_Oil_Price]],-1,0)),0))*100,2)</f>
        <v>4.9400000000000004</v>
      </c>
      <c r="I375" s="2" t="str" cm="1">
        <f t="array" aca="1" ref="I375" ca="1">_xlfn.IFS(
    ABS(Fuel_prices[[#This Row],[%_change]])&gt;50,"SEVERE IMPACT",
    ABS(Fuel_prices[[#This Row],[%_change]])&gt;25,"HIGH IMPACT",
    ABS(Fuel_prices[[#This Row],[%_change]])&gt;5,"MID IMPACT",
    ABS(Fuel_prices[[#This Row],[%_change]])&lt;=5,"LITTLE IMPACT"
)</f>
        <v>LITTLE IMPACT</v>
      </c>
    </row>
    <row r="376" spans="1:9" x14ac:dyDescent="0.25">
      <c r="A376" s="4">
        <v>36951</v>
      </c>
      <c r="B376" s="6" t="str">
        <f>_xlfn.CONCAT("Q",CEILING(Fuel_prices[[#This Row],[Month]]/3,1))</f>
        <v>Q1</v>
      </c>
      <c r="C376" s="6">
        <f>MONTH(Fuel_prices[[#This Row],[Date]])</f>
        <v>3</v>
      </c>
      <c r="D376" s="6" t="str">
        <f>TEXT(Fuel_prices[[#This Row],[Date]],"mmm")</f>
        <v>Mar</v>
      </c>
      <c r="E376" s="6">
        <f>YEAR(Fuel_prices[[#This Row],[Date]])</f>
        <v>2001</v>
      </c>
      <c r="F376" s="5">
        <v>25.02257575758</v>
      </c>
      <c r="G376" s="2">
        <f ca="1">ROUND(IFERROR((Fuel_prices[[#This Row],[Crude_Oil_Price]]-OFFSET(Fuel_prices[[#This Row],[Crude_Oil_Price]],-1,0)),0),2)</f>
        <v>-2.2200000000000002</v>
      </c>
      <c r="H376" s="2">
        <f ca="1">ROUND((IFERROR((Fuel_prices[[#This Row],[Crude_Oil_Price]]-OFFSET(Fuel_prices[[#This Row],[Crude_Oil_Price]],-1,0))/(OFFSET(Fuel_prices[[#This Row],[Crude_Oil_Price]],-1,0)),0))*100,2)</f>
        <v>-8.14</v>
      </c>
      <c r="I376" s="2" t="str" cm="1">
        <f t="array" aca="1" ref="I376" ca="1">_xlfn.IFS(
    ABS(Fuel_prices[[#This Row],[%_change]])&gt;50,"SEVERE IMPACT",
    ABS(Fuel_prices[[#This Row],[%_change]])&gt;25,"HIGH IMPACT",
    ABS(Fuel_prices[[#This Row],[%_change]])&gt;5,"MID IMPACT",
    ABS(Fuel_prices[[#This Row],[%_change]])&lt;=5,"LITTLE IMPACT"
)</f>
        <v>MID IMPACT</v>
      </c>
    </row>
    <row r="377" spans="1:9" x14ac:dyDescent="0.25">
      <c r="A377" s="4">
        <v>36982</v>
      </c>
      <c r="B377" s="6" t="str">
        <f>_xlfn.CONCAT("Q",CEILING(Fuel_prices[[#This Row],[Month]]/3,1))</f>
        <v>Q2</v>
      </c>
      <c r="C377" s="6">
        <f>MONTH(Fuel_prices[[#This Row],[Date]])</f>
        <v>4</v>
      </c>
      <c r="D377" s="6" t="str">
        <f>TEXT(Fuel_prices[[#This Row],[Date]],"mmm")</f>
        <v>Apr</v>
      </c>
      <c r="E377" s="6">
        <f>YEAR(Fuel_prices[[#This Row],[Date]])</f>
        <v>2001</v>
      </c>
      <c r="F377" s="5">
        <v>25.718</v>
      </c>
      <c r="G377" s="2">
        <f ca="1">ROUND(IFERROR((Fuel_prices[[#This Row],[Crude_Oil_Price]]-OFFSET(Fuel_prices[[#This Row],[Crude_Oil_Price]],-1,0)),0),2)</f>
        <v>0.7</v>
      </c>
      <c r="H377" s="2">
        <f ca="1">ROUND((IFERROR((Fuel_prices[[#This Row],[Crude_Oil_Price]]-OFFSET(Fuel_prices[[#This Row],[Crude_Oil_Price]],-1,0))/(OFFSET(Fuel_prices[[#This Row],[Crude_Oil_Price]],-1,0)),0))*100,2)</f>
        <v>2.78</v>
      </c>
      <c r="I377" s="2" t="str" cm="1">
        <f t="array" aca="1" ref="I377" ca="1">_xlfn.IFS(
    ABS(Fuel_prices[[#This Row],[%_change]])&gt;50,"SEVERE IMPACT",
    ABS(Fuel_prices[[#This Row],[%_change]])&gt;25,"HIGH IMPACT",
    ABS(Fuel_prices[[#This Row],[%_change]])&gt;5,"MID IMPACT",
    ABS(Fuel_prices[[#This Row],[%_change]])&lt;=5,"LITTLE IMPACT"
)</f>
        <v>LITTLE IMPACT</v>
      </c>
    </row>
    <row r="378" spans="1:9" x14ac:dyDescent="0.25">
      <c r="A378" s="4">
        <v>37012</v>
      </c>
      <c r="B378" s="6" t="str">
        <f>_xlfn.CONCAT("Q",CEILING(Fuel_prices[[#This Row],[Month]]/3,1))</f>
        <v>Q2</v>
      </c>
      <c r="C378" s="6">
        <f>MONTH(Fuel_prices[[#This Row],[Date]])</f>
        <v>5</v>
      </c>
      <c r="D378" s="6" t="str">
        <f>TEXT(Fuel_prices[[#This Row],[Date]],"mmm")</f>
        <v>May</v>
      </c>
      <c r="E378" s="6">
        <f>YEAR(Fuel_prices[[#This Row],[Date]])</f>
        <v>2001</v>
      </c>
      <c r="F378" s="5">
        <v>27.546825396829998</v>
      </c>
      <c r="G378" s="2">
        <f ca="1">ROUND(IFERROR((Fuel_prices[[#This Row],[Crude_Oil_Price]]-OFFSET(Fuel_prices[[#This Row],[Crude_Oil_Price]],-1,0)),0),2)</f>
        <v>1.83</v>
      </c>
      <c r="H378" s="2">
        <f ca="1">ROUND((IFERROR((Fuel_prices[[#This Row],[Crude_Oil_Price]]-OFFSET(Fuel_prices[[#This Row],[Crude_Oil_Price]],-1,0))/(OFFSET(Fuel_prices[[#This Row],[Crude_Oil_Price]],-1,0)),0))*100,2)</f>
        <v>7.11</v>
      </c>
      <c r="I378" s="2" t="str" cm="1">
        <f t="array" aca="1" ref="I378" ca="1">_xlfn.IFS(
    ABS(Fuel_prices[[#This Row],[%_change]])&gt;50,"SEVERE IMPACT",
    ABS(Fuel_prices[[#This Row],[%_change]])&gt;25,"HIGH IMPACT",
    ABS(Fuel_prices[[#This Row],[%_change]])&gt;5,"MID IMPACT",
    ABS(Fuel_prices[[#This Row],[%_change]])&lt;=5,"LITTLE IMPACT"
)</f>
        <v>MID IMPACT</v>
      </c>
    </row>
    <row r="379" spans="1:9" x14ac:dyDescent="0.25">
      <c r="A379" s="4">
        <v>37043</v>
      </c>
      <c r="B379" s="6" t="str">
        <f>_xlfn.CONCAT("Q",CEILING(Fuel_prices[[#This Row],[Month]]/3,1))</f>
        <v>Q2</v>
      </c>
      <c r="C379" s="6">
        <f>MONTH(Fuel_prices[[#This Row],[Date]])</f>
        <v>6</v>
      </c>
      <c r="D379" s="6" t="str">
        <f>TEXT(Fuel_prices[[#This Row],[Date]],"mmm")</f>
        <v>Jun</v>
      </c>
      <c r="E379" s="6">
        <f>YEAR(Fuel_prices[[#This Row],[Date]])</f>
        <v>2001</v>
      </c>
      <c r="F379" s="5">
        <v>26.966031746030001</v>
      </c>
      <c r="G379" s="2">
        <f ca="1">ROUND(IFERROR((Fuel_prices[[#This Row],[Crude_Oil_Price]]-OFFSET(Fuel_prices[[#This Row],[Crude_Oil_Price]],-1,0)),0),2)</f>
        <v>-0.57999999999999996</v>
      </c>
      <c r="H379" s="2">
        <f ca="1">ROUND((IFERROR((Fuel_prices[[#This Row],[Crude_Oil_Price]]-OFFSET(Fuel_prices[[#This Row],[Crude_Oil_Price]],-1,0))/(OFFSET(Fuel_prices[[#This Row],[Crude_Oil_Price]],-1,0)),0))*100,2)</f>
        <v>-2.11</v>
      </c>
      <c r="I379" s="2" t="str" cm="1">
        <f t="array" aca="1" ref="I379" ca="1">_xlfn.IFS(
    ABS(Fuel_prices[[#This Row],[%_change]])&gt;50,"SEVERE IMPACT",
    ABS(Fuel_prices[[#This Row],[%_change]])&gt;25,"HIGH IMPACT",
    ABS(Fuel_prices[[#This Row],[%_change]])&gt;5,"MID IMPACT",
    ABS(Fuel_prices[[#This Row],[%_change]])&lt;=5,"LITTLE IMPACT"
)</f>
        <v>LITTLE IMPACT</v>
      </c>
    </row>
    <row r="380" spans="1:9" x14ac:dyDescent="0.25">
      <c r="A380" s="4">
        <v>37073</v>
      </c>
      <c r="B380" s="6" t="str">
        <f>_xlfn.CONCAT("Q",CEILING(Fuel_prices[[#This Row],[Month]]/3,1))</f>
        <v>Q3</v>
      </c>
      <c r="C380" s="6">
        <f>MONTH(Fuel_prices[[#This Row],[Date]])</f>
        <v>7</v>
      </c>
      <c r="D380" s="6" t="str">
        <f>TEXT(Fuel_prices[[#This Row],[Date]],"mmm")</f>
        <v>Jul</v>
      </c>
      <c r="E380" s="6">
        <f>YEAR(Fuel_prices[[#This Row],[Date]])</f>
        <v>2001</v>
      </c>
      <c r="F380" s="5">
        <v>24.80367965368</v>
      </c>
      <c r="G380" s="2">
        <f ca="1">ROUND(IFERROR((Fuel_prices[[#This Row],[Crude_Oil_Price]]-OFFSET(Fuel_prices[[#This Row],[Crude_Oil_Price]],-1,0)),0),2)</f>
        <v>-2.16</v>
      </c>
      <c r="H380" s="2">
        <f ca="1">ROUND((IFERROR((Fuel_prices[[#This Row],[Crude_Oil_Price]]-OFFSET(Fuel_prices[[#This Row],[Crude_Oil_Price]],-1,0))/(OFFSET(Fuel_prices[[#This Row],[Crude_Oil_Price]],-1,0)),0))*100,2)</f>
        <v>-8.02</v>
      </c>
      <c r="I380" s="2" t="str" cm="1">
        <f t="array" aca="1" ref="I380" ca="1">_xlfn.IFS(
    ABS(Fuel_prices[[#This Row],[%_change]])&gt;50,"SEVERE IMPACT",
    ABS(Fuel_prices[[#This Row],[%_change]])&gt;25,"HIGH IMPACT",
    ABS(Fuel_prices[[#This Row],[%_change]])&gt;5,"MID IMPACT",
    ABS(Fuel_prices[[#This Row],[%_change]])&lt;=5,"LITTLE IMPACT"
)</f>
        <v>MID IMPACT</v>
      </c>
    </row>
    <row r="381" spans="1:9" x14ac:dyDescent="0.25">
      <c r="A381" s="4">
        <v>37104</v>
      </c>
      <c r="B381" s="6" t="str">
        <f>_xlfn.CONCAT("Q",CEILING(Fuel_prices[[#This Row],[Month]]/3,1))</f>
        <v>Q3</v>
      </c>
      <c r="C381" s="6">
        <f>MONTH(Fuel_prices[[#This Row],[Date]])</f>
        <v>8</v>
      </c>
      <c r="D381" s="6" t="str">
        <f>TEXT(Fuel_prices[[#This Row],[Date]],"mmm")</f>
        <v>Aug</v>
      </c>
      <c r="E381" s="6">
        <f>YEAR(Fuel_prices[[#This Row],[Date]])</f>
        <v>2001</v>
      </c>
      <c r="F381" s="5">
        <v>25.821159420290002</v>
      </c>
      <c r="G381" s="2">
        <f ca="1">ROUND(IFERROR((Fuel_prices[[#This Row],[Crude_Oil_Price]]-OFFSET(Fuel_prices[[#This Row],[Crude_Oil_Price]],-1,0)),0),2)</f>
        <v>1.02</v>
      </c>
      <c r="H381" s="2">
        <f ca="1">ROUND((IFERROR((Fuel_prices[[#This Row],[Crude_Oil_Price]]-OFFSET(Fuel_prices[[#This Row],[Crude_Oil_Price]],-1,0))/(OFFSET(Fuel_prices[[#This Row],[Crude_Oil_Price]],-1,0)),0))*100,2)</f>
        <v>4.0999999999999996</v>
      </c>
      <c r="I381" s="2" t="str" cm="1">
        <f t="array" aca="1" ref="I381" ca="1">_xlfn.IFS(
    ABS(Fuel_prices[[#This Row],[%_change]])&gt;50,"SEVERE IMPACT",
    ABS(Fuel_prices[[#This Row],[%_change]])&gt;25,"HIGH IMPACT",
    ABS(Fuel_prices[[#This Row],[%_change]])&gt;5,"MID IMPACT",
    ABS(Fuel_prices[[#This Row],[%_change]])&lt;=5,"LITTLE IMPACT"
)</f>
        <v>LITTLE IMPACT</v>
      </c>
    </row>
    <row r="382" spans="1:9" x14ac:dyDescent="0.25">
      <c r="A382" s="4">
        <v>37135</v>
      </c>
      <c r="B382" s="6" t="str">
        <f>_xlfn.CONCAT("Q",CEILING(Fuel_prices[[#This Row],[Month]]/3,1))</f>
        <v>Q3</v>
      </c>
      <c r="C382" s="6">
        <f>MONTH(Fuel_prices[[#This Row],[Date]])</f>
        <v>9</v>
      </c>
      <c r="D382" s="6" t="str">
        <f>TEXT(Fuel_prices[[#This Row],[Date]],"mmm")</f>
        <v>Sep</v>
      </c>
      <c r="E382" s="6">
        <f>YEAR(Fuel_prices[[#This Row],[Date]])</f>
        <v>2001</v>
      </c>
      <c r="F382" s="5">
        <v>25.207666666670001</v>
      </c>
      <c r="G382" s="2">
        <f ca="1">ROUND(IFERROR((Fuel_prices[[#This Row],[Crude_Oil_Price]]-OFFSET(Fuel_prices[[#This Row],[Crude_Oil_Price]],-1,0)),0),2)</f>
        <v>-0.61</v>
      </c>
      <c r="H382" s="2">
        <f ca="1">ROUND((IFERROR((Fuel_prices[[#This Row],[Crude_Oil_Price]]-OFFSET(Fuel_prices[[#This Row],[Crude_Oil_Price]],-1,0))/(OFFSET(Fuel_prices[[#This Row],[Crude_Oil_Price]],-1,0)),0))*100,2)</f>
        <v>-2.38</v>
      </c>
      <c r="I382" s="2" t="str" cm="1">
        <f t="array" aca="1" ref="I382" ca="1">_xlfn.IFS(
    ABS(Fuel_prices[[#This Row],[%_change]])&gt;50,"SEVERE IMPACT",
    ABS(Fuel_prices[[#This Row],[%_change]])&gt;25,"HIGH IMPACT",
    ABS(Fuel_prices[[#This Row],[%_change]])&gt;5,"MID IMPACT",
    ABS(Fuel_prices[[#This Row],[%_change]])&lt;=5,"LITTLE IMPACT"
)</f>
        <v>LITTLE IMPACT</v>
      </c>
    </row>
    <row r="383" spans="1:9" x14ac:dyDescent="0.25">
      <c r="A383" s="4">
        <v>37165</v>
      </c>
      <c r="B383" s="6" t="str">
        <f>_xlfn.CONCAT("Q",CEILING(Fuel_prices[[#This Row],[Month]]/3,1))</f>
        <v>Q4</v>
      </c>
      <c r="C383" s="6">
        <f>MONTH(Fuel_prices[[#This Row],[Date]])</f>
        <v>10</v>
      </c>
      <c r="D383" s="6" t="str">
        <f>TEXT(Fuel_prices[[#This Row],[Date]],"mmm")</f>
        <v>Oct</v>
      </c>
      <c r="E383" s="6">
        <f>YEAR(Fuel_prices[[#This Row],[Date]])</f>
        <v>2001</v>
      </c>
      <c r="F383" s="5">
        <v>20.731884057969999</v>
      </c>
      <c r="G383" s="2">
        <f ca="1">ROUND(IFERROR((Fuel_prices[[#This Row],[Crude_Oil_Price]]-OFFSET(Fuel_prices[[#This Row],[Crude_Oil_Price]],-1,0)),0),2)</f>
        <v>-4.4800000000000004</v>
      </c>
      <c r="H383" s="2">
        <f ca="1">ROUND((IFERROR((Fuel_prices[[#This Row],[Crude_Oil_Price]]-OFFSET(Fuel_prices[[#This Row],[Crude_Oil_Price]],-1,0))/(OFFSET(Fuel_prices[[#This Row],[Crude_Oil_Price]],-1,0)),0))*100,2)</f>
        <v>-17.760000000000002</v>
      </c>
      <c r="I383" s="2" t="str" cm="1">
        <f t="array" aca="1" ref="I383" ca="1">_xlfn.IFS(
    ABS(Fuel_prices[[#This Row],[%_change]])&gt;50,"SEVERE IMPACT",
    ABS(Fuel_prices[[#This Row],[%_change]])&gt;25,"HIGH IMPACT",
    ABS(Fuel_prices[[#This Row],[%_change]])&gt;5,"MID IMPACT",
    ABS(Fuel_prices[[#This Row],[%_change]])&lt;=5,"LITTLE IMPACT"
)</f>
        <v>MID IMPACT</v>
      </c>
    </row>
    <row r="384" spans="1:9" x14ac:dyDescent="0.25">
      <c r="A384" s="4">
        <v>37196</v>
      </c>
      <c r="B384" s="6" t="str">
        <f>_xlfn.CONCAT("Q",CEILING(Fuel_prices[[#This Row],[Month]]/3,1))</f>
        <v>Q4</v>
      </c>
      <c r="C384" s="6">
        <f>MONTH(Fuel_prices[[#This Row],[Date]])</f>
        <v>11</v>
      </c>
      <c r="D384" s="6" t="str">
        <f>TEXT(Fuel_prices[[#This Row],[Date]],"mmm")</f>
        <v>Nov</v>
      </c>
      <c r="E384" s="6">
        <f>YEAR(Fuel_prices[[#This Row],[Date]])</f>
        <v>2001</v>
      </c>
      <c r="F384" s="5">
        <v>18.688181818179999</v>
      </c>
      <c r="G384" s="2">
        <f ca="1">ROUND(IFERROR((Fuel_prices[[#This Row],[Crude_Oil_Price]]-OFFSET(Fuel_prices[[#This Row],[Crude_Oil_Price]],-1,0)),0),2)</f>
        <v>-2.04</v>
      </c>
      <c r="H384" s="2">
        <f ca="1">ROUND((IFERROR((Fuel_prices[[#This Row],[Crude_Oil_Price]]-OFFSET(Fuel_prices[[#This Row],[Crude_Oil_Price]],-1,0))/(OFFSET(Fuel_prices[[#This Row],[Crude_Oil_Price]],-1,0)),0))*100,2)</f>
        <v>-9.86</v>
      </c>
      <c r="I384" s="2" t="str" cm="1">
        <f t="array" aca="1" ref="I384" ca="1">_xlfn.IFS(
    ABS(Fuel_prices[[#This Row],[%_change]])&gt;50,"SEVERE IMPACT",
    ABS(Fuel_prices[[#This Row],[%_change]])&gt;25,"HIGH IMPACT",
    ABS(Fuel_prices[[#This Row],[%_change]])&gt;5,"MID IMPACT",
    ABS(Fuel_prices[[#This Row],[%_change]])&lt;=5,"LITTLE IMPACT"
)</f>
        <v>MID IMPACT</v>
      </c>
    </row>
    <row r="385" spans="1:9" x14ac:dyDescent="0.25">
      <c r="A385" s="4">
        <v>37226</v>
      </c>
      <c r="B385" s="6" t="str">
        <f>_xlfn.CONCAT("Q",CEILING(Fuel_prices[[#This Row],[Month]]/3,1))</f>
        <v>Q4</v>
      </c>
      <c r="C385" s="6">
        <f>MONTH(Fuel_prices[[#This Row],[Date]])</f>
        <v>12</v>
      </c>
      <c r="D385" s="6" t="str">
        <f>TEXT(Fuel_prices[[#This Row],[Date]],"mmm")</f>
        <v>Dec</v>
      </c>
      <c r="E385" s="6">
        <f>YEAR(Fuel_prices[[#This Row],[Date]])</f>
        <v>2001</v>
      </c>
      <c r="F385" s="5">
        <v>18.51978947368</v>
      </c>
      <c r="G385" s="2">
        <f ca="1">ROUND(IFERROR((Fuel_prices[[#This Row],[Crude_Oil_Price]]-OFFSET(Fuel_prices[[#This Row],[Crude_Oil_Price]],-1,0)),0),2)</f>
        <v>-0.17</v>
      </c>
      <c r="H385" s="2">
        <f ca="1">ROUND((IFERROR((Fuel_prices[[#This Row],[Crude_Oil_Price]]-OFFSET(Fuel_prices[[#This Row],[Crude_Oil_Price]],-1,0))/(OFFSET(Fuel_prices[[#This Row],[Crude_Oil_Price]],-1,0)),0))*100,2)</f>
        <v>-0.9</v>
      </c>
      <c r="I385" s="2" t="str" cm="1">
        <f t="array" aca="1" ref="I385" ca="1">_xlfn.IFS(
    ABS(Fuel_prices[[#This Row],[%_change]])&gt;50,"SEVERE IMPACT",
    ABS(Fuel_prices[[#This Row],[%_change]])&gt;25,"HIGH IMPACT",
    ABS(Fuel_prices[[#This Row],[%_change]])&gt;5,"MID IMPACT",
    ABS(Fuel_prices[[#This Row],[%_change]])&lt;=5,"LITTLE IMPACT"
)</f>
        <v>LITTLE IMPACT</v>
      </c>
    </row>
    <row r="386" spans="1:9" x14ac:dyDescent="0.25">
      <c r="A386" s="4">
        <v>37257</v>
      </c>
      <c r="B386" s="6" t="str">
        <f>_xlfn.CONCAT("Q",CEILING(Fuel_prices[[#This Row],[Month]]/3,1))</f>
        <v>Q1</v>
      </c>
      <c r="C386" s="6">
        <f>MONTH(Fuel_prices[[#This Row],[Date]])</f>
        <v>1</v>
      </c>
      <c r="D386" s="6" t="str">
        <f>TEXT(Fuel_prices[[#This Row],[Date]],"mmm")</f>
        <v>Jan</v>
      </c>
      <c r="E386" s="6">
        <f>YEAR(Fuel_prices[[#This Row],[Date]])</f>
        <v>2002</v>
      </c>
      <c r="F386" s="5">
        <v>19.154812409809999</v>
      </c>
      <c r="G386" s="2">
        <f ca="1">ROUND(IFERROR((Fuel_prices[[#This Row],[Crude_Oil_Price]]-OFFSET(Fuel_prices[[#This Row],[Crude_Oil_Price]],-1,0)),0),2)</f>
        <v>0.64</v>
      </c>
      <c r="H386" s="2">
        <f ca="1">ROUND((IFERROR((Fuel_prices[[#This Row],[Crude_Oil_Price]]-OFFSET(Fuel_prices[[#This Row],[Crude_Oil_Price]],-1,0))/(OFFSET(Fuel_prices[[#This Row],[Crude_Oil_Price]],-1,0)),0))*100,2)</f>
        <v>3.43</v>
      </c>
      <c r="I386" s="2" t="str" cm="1">
        <f t="array" aca="1" ref="I386" ca="1">_xlfn.IFS(
    ABS(Fuel_prices[[#This Row],[%_change]])&gt;50,"SEVERE IMPACT",
    ABS(Fuel_prices[[#This Row],[%_change]])&gt;25,"HIGH IMPACT",
    ABS(Fuel_prices[[#This Row],[%_change]])&gt;5,"MID IMPACT",
    ABS(Fuel_prices[[#This Row],[%_change]])&lt;=5,"LITTLE IMPACT"
)</f>
        <v>LITTLE IMPACT</v>
      </c>
    </row>
    <row r="387" spans="1:9" x14ac:dyDescent="0.25">
      <c r="A387" s="4">
        <v>37288</v>
      </c>
      <c r="B387" s="6" t="str">
        <f>_xlfn.CONCAT("Q",CEILING(Fuel_prices[[#This Row],[Month]]/3,1))</f>
        <v>Q1</v>
      </c>
      <c r="C387" s="6">
        <f>MONTH(Fuel_prices[[#This Row],[Date]])</f>
        <v>2</v>
      </c>
      <c r="D387" s="6" t="str">
        <f>TEXT(Fuel_prices[[#This Row],[Date]],"mmm")</f>
        <v>Feb</v>
      </c>
      <c r="E387" s="6">
        <f>YEAR(Fuel_prices[[#This Row],[Date]])</f>
        <v>2002</v>
      </c>
      <c r="F387" s="5">
        <v>19.97523684211</v>
      </c>
      <c r="G387" s="2">
        <f ca="1">ROUND(IFERROR((Fuel_prices[[#This Row],[Crude_Oil_Price]]-OFFSET(Fuel_prices[[#This Row],[Crude_Oil_Price]],-1,0)),0),2)</f>
        <v>0.82</v>
      </c>
      <c r="H387" s="2">
        <f ca="1">ROUND((IFERROR((Fuel_prices[[#This Row],[Crude_Oil_Price]]-OFFSET(Fuel_prices[[#This Row],[Crude_Oil_Price]],-1,0))/(OFFSET(Fuel_prices[[#This Row],[Crude_Oil_Price]],-1,0)),0))*100,2)</f>
        <v>4.28</v>
      </c>
      <c r="I387" s="2" t="str" cm="1">
        <f t="array" aca="1" ref="I387" ca="1">_xlfn.IFS(
    ABS(Fuel_prices[[#This Row],[%_change]])&gt;50,"SEVERE IMPACT",
    ABS(Fuel_prices[[#This Row],[%_change]])&gt;25,"HIGH IMPACT",
    ABS(Fuel_prices[[#This Row],[%_change]])&gt;5,"MID IMPACT",
    ABS(Fuel_prices[[#This Row],[%_change]])&lt;=5,"LITTLE IMPACT"
)</f>
        <v>LITTLE IMPACT</v>
      </c>
    </row>
    <row r="388" spans="1:9" x14ac:dyDescent="0.25">
      <c r="A388" s="4">
        <v>37316</v>
      </c>
      <c r="B388" s="6" t="str">
        <f>_xlfn.CONCAT("Q",CEILING(Fuel_prices[[#This Row],[Month]]/3,1))</f>
        <v>Q1</v>
      </c>
      <c r="C388" s="6">
        <f>MONTH(Fuel_prices[[#This Row],[Date]])</f>
        <v>3</v>
      </c>
      <c r="D388" s="6" t="str">
        <f>TEXT(Fuel_prices[[#This Row],[Date]],"mmm")</f>
        <v>Mar</v>
      </c>
      <c r="E388" s="6">
        <f>YEAR(Fuel_prices[[#This Row],[Date]])</f>
        <v>2002</v>
      </c>
      <c r="F388" s="5">
        <v>23.64066666667</v>
      </c>
      <c r="G388" s="2">
        <f ca="1">ROUND(IFERROR((Fuel_prices[[#This Row],[Crude_Oil_Price]]-OFFSET(Fuel_prices[[#This Row],[Crude_Oil_Price]],-1,0)),0),2)</f>
        <v>3.67</v>
      </c>
      <c r="H388" s="2">
        <f ca="1">ROUND((IFERROR((Fuel_prices[[#This Row],[Crude_Oil_Price]]-OFFSET(Fuel_prices[[#This Row],[Crude_Oil_Price]],-1,0))/(OFFSET(Fuel_prices[[#This Row],[Crude_Oil_Price]],-1,0)),0))*100,2)</f>
        <v>18.350000000000001</v>
      </c>
      <c r="I388" s="2" t="str" cm="1">
        <f t="array" aca="1" ref="I388" ca="1">_xlfn.IFS(
    ABS(Fuel_prices[[#This Row],[%_change]])&gt;50,"SEVERE IMPACT",
    ABS(Fuel_prices[[#This Row],[%_change]])&gt;25,"HIGH IMPACT",
    ABS(Fuel_prices[[#This Row],[%_change]])&gt;5,"MID IMPACT",
    ABS(Fuel_prices[[#This Row],[%_change]])&lt;=5,"LITTLE IMPACT"
)</f>
        <v>MID IMPACT</v>
      </c>
    </row>
    <row r="389" spans="1:9" x14ac:dyDescent="0.25">
      <c r="A389" s="4">
        <v>37347</v>
      </c>
      <c r="B389" s="6" t="str">
        <f>_xlfn.CONCAT("Q",CEILING(Fuel_prices[[#This Row],[Month]]/3,1))</f>
        <v>Q2</v>
      </c>
      <c r="C389" s="6">
        <f>MONTH(Fuel_prices[[#This Row],[Date]])</f>
        <v>4</v>
      </c>
      <c r="D389" s="6" t="str">
        <f>TEXT(Fuel_prices[[#This Row],[Date]],"mmm")</f>
        <v>Apr</v>
      </c>
      <c r="E389" s="6">
        <f>YEAR(Fuel_prices[[#This Row],[Date]])</f>
        <v>2002</v>
      </c>
      <c r="F389" s="5">
        <v>25.434242424240001</v>
      </c>
      <c r="G389" s="2">
        <f ca="1">ROUND(IFERROR((Fuel_prices[[#This Row],[Crude_Oil_Price]]-OFFSET(Fuel_prices[[#This Row],[Crude_Oil_Price]],-1,0)),0),2)</f>
        <v>1.79</v>
      </c>
      <c r="H389" s="2">
        <f ca="1">ROUND((IFERROR((Fuel_prices[[#This Row],[Crude_Oil_Price]]-OFFSET(Fuel_prices[[#This Row],[Crude_Oil_Price]],-1,0))/(OFFSET(Fuel_prices[[#This Row],[Crude_Oil_Price]],-1,0)),0))*100,2)</f>
        <v>7.59</v>
      </c>
      <c r="I389" s="2" t="str" cm="1">
        <f t="array" aca="1" ref="I389" ca="1">_xlfn.IFS(
    ABS(Fuel_prices[[#This Row],[%_change]])&gt;50,"SEVERE IMPACT",
    ABS(Fuel_prices[[#This Row],[%_change]])&gt;25,"HIGH IMPACT",
    ABS(Fuel_prices[[#This Row],[%_change]])&gt;5,"MID IMPACT",
    ABS(Fuel_prices[[#This Row],[%_change]])&lt;=5,"LITTLE IMPACT"
)</f>
        <v>MID IMPACT</v>
      </c>
    </row>
    <row r="390" spans="1:9" x14ac:dyDescent="0.25">
      <c r="A390" s="4">
        <v>37377</v>
      </c>
      <c r="B390" s="6" t="str">
        <f>_xlfn.CONCAT("Q",CEILING(Fuel_prices[[#This Row],[Month]]/3,1))</f>
        <v>Q2</v>
      </c>
      <c r="C390" s="6">
        <f>MONTH(Fuel_prices[[#This Row],[Date]])</f>
        <v>5</v>
      </c>
      <c r="D390" s="6" t="str">
        <f>TEXT(Fuel_prices[[#This Row],[Date]],"mmm")</f>
        <v>May</v>
      </c>
      <c r="E390" s="6">
        <f>YEAR(Fuel_prices[[#This Row],[Date]])</f>
        <v>2002</v>
      </c>
      <c r="F390" s="5">
        <v>25.672345191040002</v>
      </c>
      <c r="G390" s="2">
        <f ca="1">ROUND(IFERROR((Fuel_prices[[#This Row],[Crude_Oil_Price]]-OFFSET(Fuel_prices[[#This Row],[Crude_Oil_Price]],-1,0)),0),2)</f>
        <v>0.24</v>
      </c>
      <c r="H390" s="2">
        <f ca="1">ROUND((IFERROR((Fuel_prices[[#This Row],[Crude_Oil_Price]]-OFFSET(Fuel_prices[[#This Row],[Crude_Oil_Price]],-1,0))/(OFFSET(Fuel_prices[[#This Row],[Crude_Oil_Price]],-1,0)),0))*100,2)</f>
        <v>0.94</v>
      </c>
      <c r="I390" s="2" t="str" cm="1">
        <f t="array" aca="1" ref="I390" ca="1">_xlfn.IFS(
    ABS(Fuel_prices[[#This Row],[%_change]])&gt;50,"SEVERE IMPACT",
    ABS(Fuel_prices[[#This Row],[%_change]])&gt;25,"HIGH IMPACT",
    ABS(Fuel_prices[[#This Row],[%_change]])&gt;5,"MID IMPACT",
    ABS(Fuel_prices[[#This Row],[%_change]])&lt;=5,"LITTLE IMPACT"
)</f>
        <v>LITTLE IMPACT</v>
      </c>
    </row>
    <row r="391" spans="1:9" x14ac:dyDescent="0.25">
      <c r="A391" s="4">
        <v>37408</v>
      </c>
      <c r="B391" s="6" t="str">
        <f>_xlfn.CONCAT("Q",CEILING(Fuel_prices[[#This Row],[Month]]/3,1))</f>
        <v>Q2</v>
      </c>
      <c r="C391" s="6">
        <f>MONTH(Fuel_prices[[#This Row],[Date]])</f>
        <v>6</v>
      </c>
      <c r="D391" s="6" t="str">
        <f>TEXT(Fuel_prices[[#This Row],[Date]],"mmm")</f>
        <v>Jun</v>
      </c>
      <c r="E391" s="6">
        <f>YEAR(Fuel_prices[[#This Row],[Date]])</f>
        <v>2002</v>
      </c>
      <c r="F391" s="5">
        <v>24.48805750487</v>
      </c>
      <c r="G391" s="2">
        <f ca="1">ROUND(IFERROR((Fuel_prices[[#This Row],[Crude_Oil_Price]]-OFFSET(Fuel_prices[[#This Row],[Crude_Oil_Price]],-1,0)),0),2)</f>
        <v>-1.18</v>
      </c>
      <c r="H391" s="2">
        <f ca="1">ROUND((IFERROR((Fuel_prices[[#This Row],[Crude_Oil_Price]]-OFFSET(Fuel_prices[[#This Row],[Crude_Oil_Price]],-1,0))/(OFFSET(Fuel_prices[[#This Row],[Crude_Oil_Price]],-1,0)),0))*100,2)</f>
        <v>-4.6100000000000003</v>
      </c>
      <c r="I391" s="2" t="str" cm="1">
        <f t="array" aca="1" ref="I391" ca="1">_xlfn.IFS(
    ABS(Fuel_prices[[#This Row],[%_change]])&gt;50,"SEVERE IMPACT",
    ABS(Fuel_prices[[#This Row],[%_change]])&gt;25,"HIGH IMPACT",
    ABS(Fuel_prices[[#This Row],[%_change]])&gt;5,"MID IMPACT",
    ABS(Fuel_prices[[#This Row],[%_change]])&lt;=5,"LITTLE IMPACT"
)</f>
        <v>LITTLE IMPACT</v>
      </c>
    </row>
    <row r="392" spans="1:9" x14ac:dyDescent="0.25">
      <c r="A392" s="4">
        <v>37438</v>
      </c>
      <c r="B392" s="6" t="str">
        <f>_xlfn.CONCAT("Q",CEILING(Fuel_prices[[#This Row],[Month]]/3,1))</f>
        <v>Q3</v>
      </c>
      <c r="C392" s="6">
        <f>MONTH(Fuel_prices[[#This Row],[Date]])</f>
        <v>7</v>
      </c>
      <c r="D392" s="6" t="str">
        <f>TEXT(Fuel_prices[[#This Row],[Date]],"mmm")</f>
        <v>Jul</v>
      </c>
      <c r="E392" s="6">
        <f>YEAR(Fuel_prices[[#This Row],[Date]])</f>
        <v>2002</v>
      </c>
      <c r="F392" s="5">
        <v>25.754748102139999</v>
      </c>
      <c r="G392" s="2">
        <f ca="1">ROUND(IFERROR((Fuel_prices[[#This Row],[Crude_Oil_Price]]-OFFSET(Fuel_prices[[#This Row],[Crude_Oil_Price]],-1,0)),0),2)</f>
        <v>1.27</v>
      </c>
      <c r="H392" s="2">
        <f ca="1">ROUND((IFERROR((Fuel_prices[[#This Row],[Crude_Oil_Price]]-OFFSET(Fuel_prices[[#This Row],[Crude_Oil_Price]],-1,0))/(OFFSET(Fuel_prices[[#This Row],[Crude_Oil_Price]],-1,0)),0))*100,2)</f>
        <v>5.17</v>
      </c>
      <c r="I392" s="2" t="str" cm="1">
        <f t="array" aca="1" ref="I392" ca="1">_xlfn.IFS(
    ABS(Fuel_prices[[#This Row],[%_change]])&gt;50,"SEVERE IMPACT",
    ABS(Fuel_prices[[#This Row],[%_change]])&gt;25,"HIGH IMPACT",
    ABS(Fuel_prices[[#This Row],[%_change]])&gt;5,"MID IMPACT",
    ABS(Fuel_prices[[#This Row],[%_change]])&lt;=5,"LITTLE IMPACT"
)</f>
        <v>MID IMPACT</v>
      </c>
    </row>
    <row r="393" spans="1:9" x14ac:dyDescent="0.25">
      <c r="A393" s="4">
        <v>37469</v>
      </c>
      <c r="B393" s="6" t="str">
        <f>_xlfn.CONCAT("Q",CEILING(Fuel_prices[[#This Row],[Month]]/3,1))</f>
        <v>Q3</v>
      </c>
      <c r="C393" s="6">
        <f>MONTH(Fuel_prices[[#This Row],[Date]])</f>
        <v>8</v>
      </c>
      <c r="D393" s="6" t="str">
        <f>TEXT(Fuel_prices[[#This Row],[Date]],"mmm")</f>
        <v>Aug</v>
      </c>
      <c r="E393" s="6">
        <f>YEAR(Fuel_prices[[#This Row],[Date]])</f>
        <v>2002</v>
      </c>
      <c r="F393" s="5">
        <v>26.775800865800001</v>
      </c>
      <c r="G393" s="2">
        <f ca="1">ROUND(IFERROR((Fuel_prices[[#This Row],[Crude_Oil_Price]]-OFFSET(Fuel_prices[[#This Row],[Crude_Oil_Price]],-1,0)),0),2)</f>
        <v>1.02</v>
      </c>
      <c r="H393" s="2">
        <f ca="1">ROUND((IFERROR((Fuel_prices[[#This Row],[Crude_Oil_Price]]-OFFSET(Fuel_prices[[#This Row],[Crude_Oil_Price]],-1,0))/(OFFSET(Fuel_prices[[#This Row],[Crude_Oil_Price]],-1,0)),0))*100,2)</f>
        <v>3.96</v>
      </c>
      <c r="I393" s="2" t="str" cm="1">
        <f t="array" aca="1" ref="I393" ca="1">_xlfn.IFS(
    ABS(Fuel_prices[[#This Row],[%_change]])&gt;50,"SEVERE IMPACT",
    ABS(Fuel_prices[[#This Row],[%_change]])&gt;25,"HIGH IMPACT",
    ABS(Fuel_prices[[#This Row],[%_change]])&gt;5,"MID IMPACT",
    ABS(Fuel_prices[[#This Row],[%_change]])&lt;=5,"LITTLE IMPACT"
)</f>
        <v>LITTLE IMPACT</v>
      </c>
    </row>
    <row r="394" spans="1:9" x14ac:dyDescent="0.25">
      <c r="A394" s="4">
        <v>37500</v>
      </c>
      <c r="B394" s="6" t="str">
        <f>_xlfn.CONCAT("Q",CEILING(Fuel_prices[[#This Row],[Month]]/3,1))</f>
        <v>Q3</v>
      </c>
      <c r="C394" s="6">
        <f>MONTH(Fuel_prices[[#This Row],[Date]])</f>
        <v>9</v>
      </c>
      <c r="D394" s="6" t="str">
        <f>TEXT(Fuel_prices[[#This Row],[Date]],"mmm")</f>
        <v>Sep</v>
      </c>
      <c r="E394" s="6">
        <f>YEAR(Fuel_prices[[#This Row],[Date]])</f>
        <v>2002</v>
      </c>
      <c r="F394" s="5">
        <v>28.280793650789999</v>
      </c>
      <c r="G394" s="2">
        <f ca="1">ROUND(IFERROR((Fuel_prices[[#This Row],[Crude_Oil_Price]]-OFFSET(Fuel_prices[[#This Row],[Crude_Oil_Price]],-1,0)),0),2)</f>
        <v>1.5</v>
      </c>
      <c r="H394" s="2">
        <f ca="1">ROUND((IFERROR((Fuel_prices[[#This Row],[Crude_Oil_Price]]-OFFSET(Fuel_prices[[#This Row],[Crude_Oil_Price]],-1,0))/(OFFSET(Fuel_prices[[#This Row],[Crude_Oil_Price]],-1,0)),0))*100,2)</f>
        <v>5.62</v>
      </c>
      <c r="I394" s="2" t="str" cm="1">
        <f t="array" aca="1" ref="I394" ca="1">_xlfn.IFS(
    ABS(Fuel_prices[[#This Row],[%_change]])&gt;50,"SEVERE IMPACT",
    ABS(Fuel_prices[[#This Row],[%_change]])&gt;25,"HIGH IMPACT",
    ABS(Fuel_prices[[#This Row],[%_change]])&gt;5,"MID IMPACT",
    ABS(Fuel_prices[[#This Row],[%_change]])&lt;=5,"LITTLE IMPACT"
)</f>
        <v>MID IMPACT</v>
      </c>
    </row>
    <row r="395" spans="1:9" x14ac:dyDescent="0.25">
      <c r="A395" s="4">
        <v>37530</v>
      </c>
      <c r="B395" s="6" t="str">
        <f>_xlfn.CONCAT("Q",CEILING(Fuel_prices[[#This Row],[Month]]/3,1))</f>
        <v>Q4</v>
      </c>
      <c r="C395" s="6">
        <f>MONTH(Fuel_prices[[#This Row],[Date]])</f>
        <v>10</v>
      </c>
      <c r="D395" s="6" t="str">
        <f>TEXT(Fuel_prices[[#This Row],[Date]],"mmm")</f>
        <v>Oct</v>
      </c>
      <c r="E395" s="6">
        <f>YEAR(Fuel_prices[[#This Row],[Date]])</f>
        <v>2002</v>
      </c>
      <c r="F395" s="5">
        <v>27.526811594200002</v>
      </c>
      <c r="G395" s="2">
        <f ca="1">ROUND(IFERROR((Fuel_prices[[#This Row],[Crude_Oil_Price]]-OFFSET(Fuel_prices[[#This Row],[Crude_Oil_Price]],-1,0)),0),2)</f>
        <v>-0.75</v>
      </c>
      <c r="H395" s="2">
        <f ca="1">ROUND((IFERROR((Fuel_prices[[#This Row],[Crude_Oil_Price]]-OFFSET(Fuel_prices[[#This Row],[Crude_Oil_Price]],-1,0))/(OFFSET(Fuel_prices[[#This Row],[Crude_Oil_Price]],-1,0)),0))*100,2)</f>
        <v>-2.67</v>
      </c>
      <c r="I395" s="2" t="str" cm="1">
        <f t="array" aca="1" ref="I395" ca="1">_xlfn.IFS(
    ABS(Fuel_prices[[#This Row],[%_change]])&gt;50,"SEVERE IMPACT",
    ABS(Fuel_prices[[#This Row],[%_change]])&gt;25,"HIGH IMPACT",
    ABS(Fuel_prices[[#This Row],[%_change]])&gt;5,"MID IMPACT",
    ABS(Fuel_prices[[#This Row],[%_change]])&lt;=5,"LITTLE IMPACT"
)</f>
        <v>LITTLE IMPACT</v>
      </c>
    </row>
    <row r="396" spans="1:9" x14ac:dyDescent="0.25">
      <c r="A396" s="4">
        <v>37561</v>
      </c>
      <c r="B396" s="6" t="str">
        <f>_xlfn.CONCAT("Q",CEILING(Fuel_prices[[#This Row],[Month]]/3,1))</f>
        <v>Q4</v>
      </c>
      <c r="C396" s="6">
        <f>MONTH(Fuel_prices[[#This Row],[Date]])</f>
        <v>11</v>
      </c>
      <c r="D396" s="6" t="str">
        <f>TEXT(Fuel_prices[[#This Row],[Date]],"mmm")</f>
        <v>Nov</v>
      </c>
      <c r="E396" s="6">
        <f>YEAR(Fuel_prices[[#This Row],[Date]])</f>
        <v>2002</v>
      </c>
      <c r="F396" s="5">
        <v>24.542481203009999</v>
      </c>
      <c r="G396" s="2">
        <f ca="1">ROUND(IFERROR((Fuel_prices[[#This Row],[Crude_Oil_Price]]-OFFSET(Fuel_prices[[#This Row],[Crude_Oil_Price]],-1,0)),0),2)</f>
        <v>-2.98</v>
      </c>
      <c r="H396" s="2">
        <f ca="1">ROUND((IFERROR((Fuel_prices[[#This Row],[Crude_Oil_Price]]-OFFSET(Fuel_prices[[#This Row],[Crude_Oil_Price]],-1,0))/(OFFSET(Fuel_prices[[#This Row],[Crude_Oil_Price]],-1,0)),0))*100,2)</f>
        <v>-10.84</v>
      </c>
      <c r="I396" s="2" t="str" cm="1">
        <f t="array" aca="1" ref="I396" ca="1">_xlfn.IFS(
    ABS(Fuel_prices[[#This Row],[%_change]])&gt;50,"SEVERE IMPACT",
    ABS(Fuel_prices[[#This Row],[%_change]])&gt;25,"HIGH IMPACT",
    ABS(Fuel_prices[[#This Row],[%_change]])&gt;5,"MID IMPACT",
    ABS(Fuel_prices[[#This Row],[%_change]])&lt;=5,"LITTLE IMPACT"
)</f>
        <v>MID IMPACT</v>
      </c>
    </row>
    <row r="397" spans="1:9" x14ac:dyDescent="0.25">
      <c r="A397" s="4">
        <v>37591</v>
      </c>
      <c r="B397" s="6" t="str">
        <f>_xlfn.CONCAT("Q",CEILING(Fuel_prices[[#This Row],[Month]]/3,1))</f>
        <v>Q4</v>
      </c>
      <c r="C397" s="6">
        <f>MONTH(Fuel_prices[[#This Row],[Date]])</f>
        <v>12</v>
      </c>
      <c r="D397" s="6" t="str">
        <f>TEXT(Fuel_prices[[#This Row],[Date]],"mmm")</f>
        <v>Dec</v>
      </c>
      <c r="E397" s="6">
        <f>YEAR(Fuel_prices[[#This Row],[Date]])</f>
        <v>2002</v>
      </c>
      <c r="F397" s="5">
        <v>27.88698412698</v>
      </c>
      <c r="G397" s="2">
        <f ca="1">ROUND(IFERROR((Fuel_prices[[#This Row],[Crude_Oil_Price]]-OFFSET(Fuel_prices[[#This Row],[Crude_Oil_Price]],-1,0)),0),2)</f>
        <v>3.34</v>
      </c>
      <c r="H397" s="2">
        <f ca="1">ROUND((IFERROR((Fuel_prices[[#This Row],[Crude_Oil_Price]]-OFFSET(Fuel_prices[[#This Row],[Crude_Oil_Price]],-1,0))/(OFFSET(Fuel_prices[[#This Row],[Crude_Oil_Price]],-1,0)),0))*100,2)</f>
        <v>13.63</v>
      </c>
      <c r="I397" s="2" t="str" cm="1">
        <f t="array" aca="1" ref="I397" ca="1">_xlfn.IFS(
    ABS(Fuel_prices[[#This Row],[%_change]])&gt;50,"SEVERE IMPACT",
    ABS(Fuel_prices[[#This Row],[%_change]])&gt;25,"HIGH IMPACT",
    ABS(Fuel_prices[[#This Row],[%_change]])&gt;5,"MID IMPACT",
    ABS(Fuel_prices[[#This Row],[%_change]])&lt;=5,"LITTLE IMPACT"
)</f>
        <v>MID IMPACT</v>
      </c>
    </row>
    <row r="398" spans="1:9" x14ac:dyDescent="0.25">
      <c r="A398" s="4">
        <v>37622</v>
      </c>
      <c r="B398" s="6" t="str">
        <f>_xlfn.CONCAT("Q",CEILING(Fuel_prices[[#This Row],[Month]]/3,1))</f>
        <v>Q1</v>
      </c>
      <c r="C398" s="6">
        <f>MONTH(Fuel_prices[[#This Row],[Date]])</f>
        <v>1</v>
      </c>
      <c r="D398" s="6" t="str">
        <f>TEXT(Fuel_prices[[#This Row],[Date]],"mmm")</f>
        <v>Jan</v>
      </c>
      <c r="E398" s="6">
        <f>YEAR(Fuel_prices[[#This Row],[Date]])</f>
        <v>2003</v>
      </c>
      <c r="F398" s="5">
        <v>30.750317460320002</v>
      </c>
      <c r="G398" s="2">
        <f ca="1">ROUND(IFERROR((Fuel_prices[[#This Row],[Crude_Oil_Price]]-OFFSET(Fuel_prices[[#This Row],[Crude_Oil_Price]],-1,0)),0),2)</f>
        <v>2.86</v>
      </c>
      <c r="H398" s="2">
        <f ca="1">ROUND((IFERROR((Fuel_prices[[#This Row],[Crude_Oil_Price]]-OFFSET(Fuel_prices[[#This Row],[Crude_Oil_Price]],-1,0))/(OFFSET(Fuel_prices[[#This Row],[Crude_Oil_Price]],-1,0)),0))*100,2)</f>
        <v>10.27</v>
      </c>
      <c r="I398" s="2" t="str" cm="1">
        <f t="array" aca="1" ref="I398" ca="1">_xlfn.IFS(
    ABS(Fuel_prices[[#This Row],[%_change]])&gt;50,"SEVERE IMPACT",
    ABS(Fuel_prices[[#This Row],[%_change]])&gt;25,"HIGH IMPACT",
    ABS(Fuel_prices[[#This Row],[%_change]])&gt;5,"MID IMPACT",
    ABS(Fuel_prices[[#This Row],[%_change]])&lt;=5,"LITTLE IMPACT"
)</f>
        <v>MID IMPACT</v>
      </c>
    </row>
    <row r="399" spans="1:9" x14ac:dyDescent="0.25">
      <c r="A399" s="4">
        <v>37653</v>
      </c>
      <c r="B399" s="6" t="str">
        <f>_xlfn.CONCAT("Q",CEILING(Fuel_prices[[#This Row],[Month]]/3,1))</f>
        <v>Q1</v>
      </c>
      <c r="C399" s="6">
        <f>MONTH(Fuel_prices[[#This Row],[Date]])</f>
        <v>2</v>
      </c>
      <c r="D399" s="6" t="str">
        <f>TEXT(Fuel_prices[[#This Row],[Date]],"mmm")</f>
        <v>Feb</v>
      </c>
      <c r="E399" s="6">
        <f>YEAR(Fuel_prices[[#This Row],[Date]])</f>
        <v>2003</v>
      </c>
      <c r="F399" s="5">
        <v>32.883377192979999</v>
      </c>
      <c r="G399" s="2">
        <f ca="1">ROUND(IFERROR((Fuel_prices[[#This Row],[Crude_Oil_Price]]-OFFSET(Fuel_prices[[#This Row],[Crude_Oil_Price]],-1,0)),0),2)</f>
        <v>2.13</v>
      </c>
      <c r="H399" s="2">
        <f ca="1">ROUND((IFERROR((Fuel_prices[[#This Row],[Crude_Oil_Price]]-OFFSET(Fuel_prices[[#This Row],[Crude_Oil_Price]],-1,0))/(OFFSET(Fuel_prices[[#This Row],[Crude_Oil_Price]],-1,0)),0))*100,2)</f>
        <v>6.94</v>
      </c>
      <c r="I399" s="2" t="str" cm="1">
        <f t="array" aca="1" ref="I399" ca="1">_xlfn.IFS(
    ABS(Fuel_prices[[#This Row],[%_change]])&gt;50,"SEVERE IMPACT",
    ABS(Fuel_prices[[#This Row],[%_change]])&gt;25,"HIGH IMPACT",
    ABS(Fuel_prices[[#This Row],[%_change]])&gt;5,"MID IMPACT",
    ABS(Fuel_prices[[#This Row],[%_change]])&lt;=5,"LITTLE IMPACT"
)</f>
        <v>MID IMPACT</v>
      </c>
    </row>
    <row r="400" spans="1:9" x14ac:dyDescent="0.25">
      <c r="A400" s="4">
        <v>37681</v>
      </c>
      <c r="B400" s="6" t="str">
        <f>_xlfn.CONCAT("Q",CEILING(Fuel_prices[[#This Row],[Month]]/3,1))</f>
        <v>Q1</v>
      </c>
      <c r="C400" s="6">
        <f>MONTH(Fuel_prices[[#This Row],[Date]])</f>
        <v>3</v>
      </c>
      <c r="D400" s="6" t="str">
        <f>TEXT(Fuel_prices[[#This Row],[Date]],"mmm")</f>
        <v>Mar</v>
      </c>
      <c r="E400" s="6">
        <f>YEAR(Fuel_prices[[#This Row],[Date]])</f>
        <v>2003</v>
      </c>
      <c r="F400" s="5">
        <v>30.359206349210002</v>
      </c>
      <c r="G400" s="2">
        <f ca="1">ROUND(IFERROR((Fuel_prices[[#This Row],[Crude_Oil_Price]]-OFFSET(Fuel_prices[[#This Row],[Crude_Oil_Price]],-1,0)),0),2)</f>
        <v>-2.52</v>
      </c>
      <c r="H400" s="2">
        <f ca="1">ROUND((IFERROR((Fuel_prices[[#This Row],[Crude_Oil_Price]]-OFFSET(Fuel_prices[[#This Row],[Crude_Oil_Price]],-1,0))/(OFFSET(Fuel_prices[[#This Row],[Crude_Oil_Price]],-1,0)),0))*100,2)</f>
        <v>-7.68</v>
      </c>
      <c r="I400" s="2" t="str" cm="1">
        <f t="array" aca="1" ref="I400" ca="1">_xlfn.IFS(
    ABS(Fuel_prices[[#This Row],[%_change]])&gt;50,"SEVERE IMPACT",
    ABS(Fuel_prices[[#This Row],[%_change]])&gt;25,"HIGH IMPACT",
    ABS(Fuel_prices[[#This Row],[%_change]])&gt;5,"MID IMPACT",
    ABS(Fuel_prices[[#This Row],[%_change]])&lt;=5,"LITTLE IMPACT"
)</f>
        <v>MID IMPACT</v>
      </c>
    </row>
    <row r="401" spans="1:9" x14ac:dyDescent="0.25">
      <c r="A401" s="4">
        <v>37712</v>
      </c>
      <c r="B401" s="6" t="str">
        <f>_xlfn.CONCAT("Q",CEILING(Fuel_prices[[#This Row],[Month]]/3,1))</f>
        <v>Q2</v>
      </c>
      <c r="C401" s="6">
        <f>MONTH(Fuel_prices[[#This Row],[Date]])</f>
        <v>4</v>
      </c>
      <c r="D401" s="6" t="str">
        <f>TEXT(Fuel_prices[[#This Row],[Date]],"mmm")</f>
        <v>Apr</v>
      </c>
      <c r="E401" s="6">
        <f>YEAR(Fuel_prices[[#This Row],[Date]])</f>
        <v>2003</v>
      </c>
      <c r="F401" s="5">
        <v>25.555968253970001</v>
      </c>
      <c r="G401" s="2">
        <f ca="1">ROUND(IFERROR((Fuel_prices[[#This Row],[Crude_Oil_Price]]-OFFSET(Fuel_prices[[#This Row],[Crude_Oil_Price]],-1,0)),0),2)</f>
        <v>-4.8</v>
      </c>
      <c r="H401" s="2">
        <f ca="1">ROUND((IFERROR((Fuel_prices[[#This Row],[Crude_Oil_Price]]-OFFSET(Fuel_prices[[#This Row],[Crude_Oil_Price]],-1,0))/(OFFSET(Fuel_prices[[#This Row],[Crude_Oil_Price]],-1,0)),0))*100,2)</f>
        <v>-15.82</v>
      </c>
      <c r="I401" s="2" t="str" cm="1">
        <f t="array" aca="1" ref="I401" ca="1">_xlfn.IFS(
    ABS(Fuel_prices[[#This Row],[%_change]])&gt;50,"SEVERE IMPACT",
    ABS(Fuel_prices[[#This Row],[%_change]])&gt;25,"HIGH IMPACT",
    ABS(Fuel_prices[[#This Row],[%_change]])&gt;5,"MID IMPACT",
    ABS(Fuel_prices[[#This Row],[%_change]])&lt;=5,"LITTLE IMPACT"
)</f>
        <v>MID IMPACT</v>
      </c>
    </row>
    <row r="402" spans="1:9" x14ac:dyDescent="0.25">
      <c r="A402" s="4">
        <v>37742</v>
      </c>
      <c r="B402" s="6" t="str">
        <f>_xlfn.CONCAT("Q",CEILING(Fuel_prices[[#This Row],[Month]]/3,1))</f>
        <v>Q2</v>
      </c>
      <c r="C402" s="6">
        <f>MONTH(Fuel_prices[[#This Row],[Date]])</f>
        <v>5</v>
      </c>
      <c r="D402" s="6" t="str">
        <f>TEXT(Fuel_prices[[#This Row],[Date]],"mmm")</f>
        <v>May</v>
      </c>
      <c r="E402" s="6">
        <f>YEAR(Fuel_prices[[#This Row],[Date]])</f>
        <v>2003</v>
      </c>
      <c r="F402" s="5">
        <v>26.064912698410001</v>
      </c>
      <c r="G402" s="2">
        <f ca="1">ROUND(IFERROR((Fuel_prices[[#This Row],[Crude_Oil_Price]]-OFFSET(Fuel_prices[[#This Row],[Crude_Oil_Price]],-1,0)),0),2)</f>
        <v>0.51</v>
      </c>
      <c r="H402" s="2">
        <f ca="1">ROUND((IFERROR((Fuel_prices[[#This Row],[Crude_Oil_Price]]-OFFSET(Fuel_prices[[#This Row],[Crude_Oil_Price]],-1,0))/(OFFSET(Fuel_prices[[#This Row],[Crude_Oil_Price]],-1,0)),0))*100,2)</f>
        <v>1.99</v>
      </c>
      <c r="I402" s="2" t="str" cm="1">
        <f t="array" aca="1" ref="I402" ca="1">_xlfn.IFS(
    ABS(Fuel_prices[[#This Row],[%_change]])&gt;50,"SEVERE IMPACT",
    ABS(Fuel_prices[[#This Row],[%_change]])&gt;25,"HIGH IMPACT",
    ABS(Fuel_prices[[#This Row],[%_change]])&gt;5,"MID IMPACT",
    ABS(Fuel_prices[[#This Row],[%_change]])&lt;=5,"LITTLE IMPACT"
)</f>
        <v>LITTLE IMPACT</v>
      </c>
    </row>
    <row r="403" spans="1:9" x14ac:dyDescent="0.25">
      <c r="A403" s="4">
        <v>37773</v>
      </c>
      <c r="B403" s="6" t="str">
        <f>_xlfn.CONCAT("Q",CEILING(Fuel_prices[[#This Row],[Month]]/3,1))</f>
        <v>Q2</v>
      </c>
      <c r="C403" s="6">
        <f>MONTH(Fuel_prices[[#This Row],[Date]])</f>
        <v>6</v>
      </c>
      <c r="D403" s="6" t="str">
        <f>TEXT(Fuel_prices[[#This Row],[Date]],"mmm")</f>
        <v>Jun</v>
      </c>
      <c r="E403" s="6">
        <f>YEAR(Fuel_prices[[#This Row],[Date]])</f>
        <v>2003</v>
      </c>
      <c r="F403" s="5">
        <v>27.91714285714</v>
      </c>
      <c r="G403" s="2">
        <f ca="1">ROUND(IFERROR((Fuel_prices[[#This Row],[Crude_Oil_Price]]-OFFSET(Fuel_prices[[#This Row],[Crude_Oil_Price]],-1,0)),0),2)</f>
        <v>1.85</v>
      </c>
      <c r="H403" s="2">
        <f ca="1">ROUND((IFERROR((Fuel_prices[[#This Row],[Crude_Oil_Price]]-OFFSET(Fuel_prices[[#This Row],[Crude_Oil_Price]],-1,0))/(OFFSET(Fuel_prices[[#This Row],[Crude_Oil_Price]],-1,0)),0))*100,2)</f>
        <v>7.11</v>
      </c>
      <c r="I403" s="2" t="str" cm="1">
        <f t="array" aca="1" ref="I403" ca="1">_xlfn.IFS(
    ABS(Fuel_prices[[#This Row],[%_change]])&gt;50,"SEVERE IMPACT",
    ABS(Fuel_prices[[#This Row],[%_change]])&gt;25,"HIGH IMPACT",
    ABS(Fuel_prices[[#This Row],[%_change]])&gt;5,"MID IMPACT",
    ABS(Fuel_prices[[#This Row],[%_change]])&lt;=5,"LITTLE IMPACT"
)</f>
        <v>MID IMPACT</v>
      </c>
    </row>
    <row r="404" spans="1:9" x14ac:dyDescent="0.25">
      <c r="A404" s="4">
        <v>37803</v>
      </c>
      <c r="B404" s="6" t="str">
        <f>_xlfn.CONCAT("Q",CEILING(Fuel_prices[[#This Row],[Month]]/3,1))</f>
        <v>Q3</v>
      </c>
      <c r="C404" s="6">
        <f>MONTH(Fuel_prices[[#This Row],[Date]])</f>
        <v>7</v>
      </c>
      <c r="D404" s="6" t="str">
        <f>TEXT(Fuel_prices[[#This Row],[Date]],"mmm")</f>
        <v>Jul</v>
      </c>
      <c r="E404" s="6">
        <f>YEAR(Fuel_prices[[#This Row],[Date]])</f>
        <v>2003</v>
      </c>
      <c r="F404" s="5">
        <v>28.591587615280002</v>
      </c>
      <c r="G404" s="2">
        <f ca="1">ROUND(IFERROR((Fuel_prices[[#This Row],[Crude_Oil_Price]]-OFFSET(Fuel_prices[[#This Row],[Crude_Oil_Price]],-1,0)),0),2)</f>
        <v>0.67</v>
      </c>
      <c r="H404" s="2">
        <f ca="1">ROUND((IFERROR((Fuel_prices[[#This Row],[Crude_Oil_Price]]-OFFSET(Fuel_prices[[#This Row],[Crude_Oil_Price]],-1,0))/(OFFSET(Fuel_prices[[#This Row],[Crude_Oil_Price]],-1,0)),0))*100,2)</f>
        <v>2.42</v>
      </c>
      <c r="I404" s="2" t="str" cm="1">
        <f t="array" aca="1" ref="I404" ca="1">_xlfn.IFS(
    ABS(Fuel_prices[[#This Row],[%_change]])&gt;50,"SEVERE IMPACT",
    ABS(Fuel_prices[[#This Row],[%_change]])&gt;25,"HIGH IMPACT",
    ABS(Fuel_prices[[#This Row],[%_change]])&gt;5,"MID IMPACT",
    ABS(Fuel_prices[[#This Row],[%_change]])&lt;=5,"LITTLE IMPACT"
)</f>
        <v>LITTLE IMPACT</v>
      </c>
    </row>
    <row r="405" spans="1:9" x14ac:dyDescent="0.25">
      <c r="A405" s="4">
        <v>37834</v>
      </c>
      <c r="B405" s="6" t="str">
        <f>_xlfn.CONCAT("Q",CEILING(Fuel_prices[[#This Row],[Month]]/3,1))</f>
        <v>Q3</v>
      </c>
      <c r="C405" s="6">
        <f>MONTH(Fuel_prices[[#This Row],[Date]])</f>
        <v>8</v>
      </c>
      <c r="D405" s="6" t="str">
        <f>TEXT(Fuel_prices[[#This Row],[Date]],"mmm")</f>
        <v>Aug</v>
      </c>
      <c r="E405" s="6">
        <f>YEAR(Fuel_prices[[#This Row],[Date]])</f>
        <v>2003</v>
      </c>
      <c r="F405" s="5">
        <v>29.675555555559999</v>
      </c>
      <c r="G405" s="2">
        <f ca="1">ROUND(IFERROR((Fuel_prices[[#This Row],[Crude_Oil_Price]]-OFFSET(Fuel_prices[[#This Row],[Crude_Oil_Price]],-1,0)),0),2)</f>
        <v>1.08</v>
      </c>
      <c r="H405" s="2">
        <f ca="1">ROUND((IFERROR((Fuel_prices[[#This Row],[Crude_Oil_Price]]-OFFSET(Fuel_prices[[#This Row],[Crude_Oil_Price]],-1,0))/(OFFSET(Fuel_prices[[#This Row],[Crude_Oil_Price]],-1,0)),0))*100,2)</f>
        <v>3.79</v>
      </c>
      <c r="I405" s="2" t="str" cm="1">
        <f t="array" aca="1" ref="I405" ca="1">_xlfn.IFS(
    ABS(Fuel_prices[[#This Row],[%_change]])&gt;50,"SEVERE IMPACT",
    ABS(Fuel_prices[[#This Row],[%_change]])&gt;25,"HIGH IMPACT",
    ABS(Fuel_prices[[#This Row],[%_change]])&gt;5,"MID IMPACT",
    ABS(Fuel_prices[[#This Row],[%_change]])&lt;=5,"LITTLE IMPACT"
)</f>
        <v>LITTLE IMPACT</v>
      </c>
    </row>
    <row r="406" spans="1:9" x14ac:dyDescent="0.25">
      <c r="A406" s="4">
        <v>37865</v>
      </c>
      <c r="B406" s="6" t="str">
        <f>_xlfn.CONCAT("Q",CEILING(Fuel_prices[[#This Row],[Month]]/3,1))</f>
        <v>Q3</v>
      </c>
      <c r="C406" s="6">
        <f>MONTH(Fuel_prices[[#This Row],[Date]])</f>
        <v>9</v>
      </c>
      <c r="D406" s="6" t="str">
        <f>TEXT(Fuel_prices[[#This Row],[Date]],"mmm")</f>
        <v>Sep</v>
      </c>
      <c r="E406" s="6">
        <f>YEAR(Fuel_prices[[#This Row],[Date]])</f>
        <v>2003</v>
      </c>
      <c r="F406" s="5">
        <v>26.882330447329998</v>
      </c>
      <c r="G406" s="2">
        <f ca="1">ROUND(IFERROR((Fuel_prices[[#This Row],[Crude_Oil_Price]]-OFFSET(Fuel_prices[[#This Row],[Crude_Oil_Price]],-1,0)),0),2)</f>
        <v>-2.79</v>
      </c>
      <c r="H406" s="2">
        <f ca="1">ROUND((IFERROR((Fuel_prices[[#This Row],[Crude_Oil_Price]]-OFFSET(Fuel_prices[[#This Row],[Crude_Oil_Price]],-1,0))/(OFFSET(Fuel_prices[[#This Row],[Crude_Oil_Price]],-1,0)),0))*100,2)</f>
        <v>-9.41</v>
      </c>
      <c r="I406" s="2" t="str" cm="1">
        <f t="array" aca="1" ref="I406" ca="1">_xlfn.IFS(
    ABS(Fuel_prices[[#This Row],[%_change]])&gt;50,"SEVERE IMPACT",
    ABS(Fuel_prices[[#This Row],[%_change]])&gt;25,"HIGH IMPACT",
    ABS(Fuel_prices[[#This Row],[%_change]])&gt;5,"MID IMPACT",
    ABS(Fuel_prices[[#This Row],[%_change]])&lt;=5,"LITTLE IMPACT"
)</f>
        <v>MID IMPACT</v>
      </c>
    </row>
    <row r="407" spans="1:9" x14ac:dyDescent="0.25">
      <c r="A407" s="4">
        <v>37895</v>
      </c>
      <c r="B407" s="6" t="str">
        <f>_xlfn.CONCAT("Q",CEILING(Fuel_prices[[#This Row],[Month]]/3,1))</f>
        <v>Q4</v>
      </c>
      <c r="C407" s="6">
        <f>MONTH(Fuel_prices[[#This Row],[Date]])</f>
        <v>10</v>
      </c>
      <c r="D407" s="6" t="str">
        <f>TEXT(Fuel_prices[[#This Row],[Date]],"mmm")</f>
        <v>Oct</v>
      </c>
      <c r="E407" s="6">
        <f>YEAR(Fuel_prices[[#This Row],[Date]])</f>
        <v>2003</v>
      </c>
      <c r="F407" s="5">
        <v>29.014492753620001</v>
      </c>
      <c r="G407" s="2">
        <f ca="1">ROUND(IFERROR((Fuel_prices[[#This Row],[Crude_Oil_Price]]-OFFSET(Fuel_prices[[#This Row],[Crude_Oil_Price]],-1,0)),0),2)</f>
        <v>2.13</v>
      </c>
      <c r="H407" s="2">
        <f ca="1">ROUND((IFERROR((Fuel_prices[[#This Row],[Crude_Oil_Price]]-OFFSET(Fuel_prices[[#This Row],[Crude_Oil_Price]],-1,0))/(OFFSET(Fuel_prices[[#This Row],[Crude_Oil_Price]],-1,0)),0))*100,2)</f>
        <v>7.93</v>
      </c>
      <c r="I407" s="2" t="str" cm="1">
        <f t="array" aca="1" ref="I407" ca="1">_xlfn.IFS(
    ABS(Fuel_prices[[#This Row],[%_change]])&gt;50,"SEVERE IMPACT",
    ABS(Fuel_prices[[#This Row],[%_change]])&gt;25,"HIGH IMPACT",
    ABS(Fuel_prices[[#This Row],[%_change]])&gt;5,"MID IMPACT",
    ABS(Fuel_prices[[#This Row],[%_change]])&lt;=5,"LITTLE IMPACT"
)</f>
        <v>MID IMPACT</v>
      </c>
    </row>
    <row r="408" spans="1:9" x14ac:dyDescent="0.25">
      <c r="A408" s="4">
        <v>37926</v>
      </c>
      <c r="B408" s="6" t="str">
        <f>_xlfn.CONCAT("Q",CEILING(Fuel_prices[[#This Row],[Month]]/3,1))</f>
        <v>Q4</v>
      </c>
      <c r="C408" s="6">
        <f>MONTH(Fuel_prices[[#This Row],[Date]])</f>
        <v>11</v>
      </c>
      <c r="D408" s="6" t="str">
        <f>TEXT(Fuel_prices[[#This Row],[Date]],"mmm")</f>
        <v>Nov</v>
      </c>
      <c r="E408" s="6">
        <f>YEAR(Fuel_prices[[#This Row],[Date]])</f>
        <v>2003</v>
      </c>
      <c r="F408" s="5">
        <v>29.122740740739999</v>
      </c>
      <c r="G408" s="2">
        <f ca="1">ROUND(IFERROR((Fuel_prices[[#This Row],[Crude_Oil_Price]]-OFFSET(Fuel_prices[[#This Row],[Crude_Oil_Price]],-1,0)),0),2)</f>
        <v>0.11</v>
      </c>
      <c r="H408" s="2">
        <f ca="1">ROUND((IFERROR((Fuel_prices[[#This Row],[Crude_Oil_Price]]-OFFSET(Fuel_prices[[#This Row],[Crude_Oil_Price]],-1,0))/(OFFSET(Fuel_prices[[#This Row],[Crude_Oil_Price]],-1,0)),0))*100,2)</f>
        <v>0.37</v>
      </c>
      <c r="I408" s="2" t="str" cm="1">
        <f t="array" aca="1" ref="I408" ca="1">_xlfn.IFS(
    ABS(Fuel_prices[[#This Row],[%_change]])&gt;50,"SEVERE IMPACT",
    ABS(Fuel_prices[[#This Row],[%_change]])&gt;25,"HIGH IMPACT",
    ABS(Fuel_prices[[#This Row],[%_change]])&gt;5,"MID IMPACT",
    ABS(Fuel_prices[[#This Row],[%_change]])&lt;=5,"LITTLE IMPACT"
)</f>
        <v>LITTLE IMPACT</v>
      </c>
    </row>
    <row r="409" spans="1:9" x14ac:dyDescent="0.25">
      <c r="A409" s="4">
        <v>37956</v>
      </c>
      <c r="B409" s="6" t="str">
        <f>_xlfn.CONCAT("Q",CEILING(Fuel_prices[[#This Row],[Month]]/3,1))</f>
        <v>Q4</v>
      </c>
      <c r="C409" s="6">
        <f>MONTH(Fuel_prices[[#This Row],[Date]])</f>
        <v>12</v>
      </c>
      <c r="D409" s="6" t="str">
        <f>TEXT(Fuel_prices[[#This Row],[Date]],"mmm")</f>
        <v>Dec</v>
      </c>
      <c r="E409" s="6">
        <f>YEAR(Fuel_prices[[#This Row],[Date]])</f>
        <v>2003</v>
      </c>
      <c r="F409" s="5">
        <v>29.969206349210001</v>
      </c>
      <c r="G409" s="2">
        <f ca="1">ROUND(IFERROR((Fuel_prices[[#This Row],[Crude_Oil_Price]]-OFFSET(Fuel_prices[[#This Row],[Crude_Oil_Price]],-1,0)),0),2)</f>
        <v>0.85</v>
      </c>
      <c r="H409" s="2">
        <f ca="1">ROUND((IFERROR((Fuel_prices[[#This Row],[Crude_Oil_Price]]-OFFSET(Fuel_prices[[#This Row],[Crude_Oil_Price]],-1,0))/(OFFSET(Fuel_prices[[#This Row],[Crude_Oil_Price]],-1,0)),0))*100,2)</f>
        <v>2.91</v>
      </c>
      <c r="I409" s="2" t="str" cm="1">
        <f t="array" aca="1" ref="I409" ca="1">_xlfn.IFS(
    ABS(Fuel_prices[[#This Row],[%_change]])&gt;50,"SEVERE IMPACT",
    ABS(Fuel_prices[[#This Row],[%_change]])&gt;25,"HIGH IMPACT",
    ABS(Fuel_prices[[#This Row],[%_change]])&gt;5,"MID IMPACT",
    ABS(Fuel_prices[[#This Row],[%_change]])&lt;=5,"LITTLE IMPACT"
)</f>
        <v>LITTLE IMPACT</v>
      </c>
    </row>
    <row r="410" spans="1:9" x14ac:dyDescent="0.25">
      <c r="A410" s="4">
        <v>37987</v>
      </c>
      <c r="B410" s="6" t="str">
        <f>_xlfn.CONCAT("Q",CEILING(Fuel_prices[[#This Row],[Month]]/3,1))</f>
        <v>Q1</v>
      </c>
      <c r="C410" s="6">
        <f>MONTH(Fuel_prices[[#This Row],[Date]])</f>
        <v>1</v>
      </c>
      <c r="D410" s="6" t="str">
        <f>TEXT(Fuel_prices[[#This Row],[Date]],"mmm")</f>
        <v>Jan</v>
      </c>
      <c r="E410" s="6">
        <f>YEAR(Fuel_prices[[#This Row],[Date]])</f>
        <v>2004</v>
      </c>
      <c r="F410" s="5">
        <v>31.367719298250002</v>
      </c>
      <c r="G410" s="2">
        <f ca="1">ROUND(IFERROR((Fuel_prices[[#This Row],[Crude_Oil_Price]]-OFFSET(Fuel_prices[[#This Row],[Crude_Oil_Price]],-1,0)),0),2)</f>
        <v>1.4</v>
      </c>
      <c r="H410" s="2">
        <f ca="1">ROUND((IFERROR((Fuel_prices[[#This Row],[Crude_Oil_Price]]-OFFSET(Fuel_prices[[#This Row],[Crude_Oil_Price]],-1,0))/(OFFSET(Fuel_prices[[#This Row],[Crude_Oil_Price]],-1,0)),0))*100,2)</f>
        <v>4.67</v>
      </c>
      <c r="I410" s="2" t="str" cm="1">
        <f t="array" aca="1" ref="I410" ca="1">_xlfn.IFS(
    ABS(Fuel_prices[[#This Row],[%_change]])&gt;50,"SEVERE IMPACT",
    ABS(Fuel_prices[[#This Row],[%_change]])&gt;25,"HIGH IMPACT",
    ABS(Fuel_prices[[#This Row],[%_change]])&gt;5,"MID IMPACT",
    ABS(Fuel_prices[[#This Row],[%_change]])&lt;=5,"LITTLE IMPACT"
)</f>
        <v>LITTLE IMPACT</v>
      </c>
    </row>
    <row r="411" spans="1:9" x14ac:dyDescent="0.25">
      <c r="A411" s="4">
        <v>38018</v>
      </c>
      <c r="B411" s="6" t="str">
        <f>_xlfn.CONCAT("Q",CEILING(Fuel_prices[[#This Row],[Month]]/3,1))</f>
        <v>Q1</v>
      </c>
      <c r="C411" s="6">
        <f>MONTH(Fuel_prices[[#This Row],[Date]])</f>
        <v>2</v>
      </c>
      <c r="D411" s="6" t="str">
        <f>TEXT(Fuel_prices[[#This Row],[Date]],"mmm")</f>
        <v>Feb</v>
      </c>
      <c r="E411" s="6">
        <f>YEAR(Fuel_prices[[#This Row],[Date]])</f>
        <v>2004</v>
      </c>
      <c r="F411" s="5">
        <v>31.331333333330001</v>
      </c>
      <c r="G411" s="2">
        <f ca="1">ROUND(IFERROR((Fuel_prices[[#This Row],[Crude_Oil_Price]]-OFFSET(Fuel_prices[[#This Row],[Crude_Oil_Price]],-1,0)),0),2)</f>
        <v>-0.04</v>
      </c>
      <c r="H411" s="2">
        <f ca="1">ROUND((IFERROR((Fuel_prices[[#This Row],[Crude_Oil_Price]]-OFFSET(Fuel_prices[[#This Row],[Crude_Oil_Price]],-1,0))/(OFFSET(Fuel_prices[[#This Row],[Crude_Oil_Price]],-1,0)),0))*100,2)</f>
        <v>-0.12</v>
      </c>
      <c r="I411" s="2" t="str" cm="1">
        <f t="array" aca="1" ref="I411" ca="1">_xlfn.IFS(
    ABS(Fuel_prices[[#This Row],[%_change]])&gt;50,"SEVERE IMPACT",
    ABS(Fuel_prices[[#This Row],[%_change]])&gt;25,"HIGH IMPACT",
    ABS(Fuel_prices[[#This Row],[%_change]])&gt;5,"MID IMPACT",
    ABS(Fuel_prices[[#This Row],[%_change]])&lt;=5,"LITTLE IMPACT"
)</f>
        <v>LITTLE IMPACT</v>
      </c>
    </row>
    <row r="412" spans="1:9" x14ac:dyDescent="0.25">
      <c r="A412" s="4">
        <v>38047</v>
      </c>
      <c r="B412" s="6" t="str">
        <f>_xlfn.CONCAT("Q",CEILING(Fuel_prices[[#This Row],[Month]]/3,1))</f>
        <v>Q1</v>
      </c>
      <c r="C412" s="6">
        <f>MONTH(Fuel_prices[[#This Row],[Date]])</f>
        <v>3</v>
      </c>
      <c r="D412" s="6" t="str">
        <f>TEXT(Fuel_prices[[#This Row],[Date]],"mmm")</f>
        <v>Mar</v>
      </c>
      <c r="E412" s="6">
        <f>YEAR(Fuel_prices[[#This Row],[Date]])</f>
        <v>2004</v>
      </c>
      <c r="F412" s="5">
        <v>33.665072463770002</v>
      </c>
      <c r="G412" s="2">
        <f ca="1">ROUND(IFERROR((Fuel_prices[[#This Row],[Crude_Oil_Price]]-OFFSET(Fuel_prices[[#This Row],[Crude_Oil_Price]],-1,0)),0),2)</f>
        <v>2.33</v>
      </c>
      <c r="H412" s="2">
        <f ca="1">ROUND((IFERROR((Fuel_prices[[#This Row],[Crude_Oil_Price]]-OFFSET(Fuel_prices[[#This Row],[Crude_Oil_Price]],-1,0))/(OFFSET(Fuel_prices[[#This Row],[Crude_Oil_Price]],-1,0)),0))*100,2)</f>
        <v>7.45</v>
      </c>
      <c r="I412" s="2" t="str" cm="1">
        <f t="array" aca="1" ref="I412" ca="1">_xlfn.IFS(
    ABS(Fuel_prices[[#This Row],[%_change]])&gt;50,"SEVERE IMPACT",
    ABS(Fuel_prices[[#This Row],[%_change]])&gt;25,"HIGH IMPACT",
    ABS(Fuel_prices[[#This Row],[%_change]])&gt;5,"MID IMPACT",
    ABS(Fuel_prices[[#This Row],[%_change]])&lt;=5,"LITTLE IMPACT"
)</f>
        <v>MID IMPACT</v>
      </c>
    </row>
    <row r="413" spans="1:9" x14ac:dyDescent="0.25">
      <c r="A413" s="4">
        <v>38078</v>
      </c>
      <c r="B413" s="6" t="str">
        <f>_xlfn.CONCAT("Q",CEILING(Fuel_prices[[#This Row],[Month]]/3,1))</f>
        <v>Q2</v>
      </c>
      <c r="C413" s="6">
        <f>MONTH(Fuel_prices[[#This Row],[Date]])</f>
        <v>4</v>
      </c>
      <c r="D413" s="6" t="str">
        <f>TEXT(Fuel_prices[[#This Row],[Date]],"mmm")</f>
        <v>Apr</v>
      </c>
      <c r="E413" s="6">
        <f>YEAR(Fuel_prices[[#This Row],[Date]])</f>
        <v>2004</v>
      </c>
      <c r="F413" s="5">
        <v>33.711392496389998</v>
      </c>
      <c r="G413" s="2">
        <f ca="1">ROUND(IFERROR((Fuel_prices[[#This Row],[Crude_Oil_Price]]-OFFSET(Fuel_prices[[#This Row],[Crude_Oil_Price]],-1,0)),0),2)</f>
        <v>0.05</v>
      </c>
      <c r="H413" s="2">
        <f ca="1">ROUND((IFERROR((Fuel_prices[[#This Row],[Crude_Oil_Price]]-OFFSET(Fuel_prices[[#This Row],[Crude_Oil_Price]],-1,0))/(OFFSET(Fuel_prices[[#This Row],[Crude_Oil_Price]],-1,0)),0))*100,2)</f>
        <v>0.14000000000000001</v>
      </c>
      <c r="I413" s="2" t="str" cm="1">
        <f t="array" aca="1" ref="I413" ca="1">_xlfn.IFS(
    ABS(Fuel_prices[[#This Row],[%_change]])&gt;50,"SEVERE IMPACT",
    ABS(Fuel_prices[[#This Row],[%_change]])&gt;25,"HIGH IMPACT",
    ABS(Fuel_prices[[#This Row],[%_change]])&gt;5,"MID IMPACT",
    ABS(Fuel_prices[[#This Row],[%_change]])&lt;=5,"LITTLE IMPACT"
)</f>
        <v>LITTLE IMPACT</v>
      </c>
    </row>
    <row r="414" spans="1:9" x14ac:dyDescent="0.25">
      <c r="A414" s="4">
        <v>38108</v>
      </c>
      <c r="B414" s="6" t="str">
        <f>_xlfn.CONCAT("Q",CEILING(Fuel_prices[[#This Row],[Month]]/3,1))</f>
        <v>Q2</v>
      </c>
      <c r="C414" s="6">
        <f>MONTH(Fuel_prices[[#This Row],[Date]])</f>
        <v>5</v>
      </c>
      <c r="D414" s="6" t="str">
        <f>TEXT(Fuel_prices[[#This Row],[Date]],"mmm")</f>
        <v>May</v>
      </c>
      <c r="E414" s="6">
        <f>YEAR(Fuel_prices[[#This Row],[Date]])</f>
        <v>2004</v>
      </c>
      <c r="F414" s="5">
        <v>37.557898913949998</v>
      </c>
      <c r="G414" s="2">
        <f ca="1">ROUND(IFERROR((Fuel_prices[[#This Row],[Crude_Oil_Price]]-OFFSET(Fuel_prices[[#This Row],[Crude_Oil_Price]],-1,0)),0),2)</f>
        <v>3.85</v>
      </c>
      <c r="H414" s="2">
        <f ca="1">ROUND((IFERROR((Fuel_prices[[#This Row],[Crude_Oil_Price]]-OFFSET(Fuel_prices[[#This Row],[Crude_Oil_Price]],-1,0))/(OFFSET(Fuel_prices[[#This Row],[Crude_Oil_Price]],-1,0)),0))*100,2)</f>
        <v>11.41</v>
      </c>
      <c r="I414" s="2" t="str" cm="1">
        <f t="array" aca="1" ref="I414" ca="1">_xlfn.IFS(
    ABS(Fuel_prices[[#This Row],[%_change]])&gt;50,"SEVERE IMPACT",
    ABS(Fuel_prices[[#This Row],[%_change]])&gt;25,"HIGH IMPACT",
    ABS(Fuel_prices[[#This Row],[%_change]])&gt;5,"MID IMPACT",
    ABS(Fuel_prices[[#This Row],[%_change]])&lt;=5,"LITTLE IMPACT"
)</f>
        <v>MID IMPACT</v>
      </c>
    </row>
    <row r="415" spans="1:9" x14ac:dyDescent="0.25">
      <c r="A415" s="4">
        <v>38139</v>
      </c>
      <c r="B415" s="6" t="str">
        <f>_xlfn.CONCAT("Q",CEILING(Fuel_prices[[#This Row],[Month]]/3,1))</f>
        <v>Q2</v>
      </c>
      <c r="C415" s="6">
        <f>MONTH(Fuel_prices[[#This Row],[Date]])</f>
        <v>6</v>
      </c>
      <c r="D415" s="6" t="str">
        <f>TEXT(Fuel_prices[[#This Row],[Date]],"mmm")</f>
        <v>Jun</v>
      </c>
      <c r="E415" s="6">
        <f>YEAR(Fuel_prices[[#This Row],[Date]])</f>
        <v>2004</v>
      </c>
      <c r="F415" s="5">
        <v>35.542741702740003</v>
      </c>
      <c r="G415" s="2">
        <f ca="1">ROUND(IFERROR((Fuel_prices[[#This Row],[Crude_Oil_Price]]-OFFSET(Fuel_prices[[#This Row],[Crude_Oil_Price]],-1,0)),0),2)</f>
        <v>-2.02</v>
      </c>
      <c r="H415" s="2">
        <f ca="1">ROUND((IFERROR((Fuel_prices[[#This Row],[Crude_Oil_Price]]-OFFSET(Fuel_prices[[#This Row],[Crude_Oil_Price]],-1,0))/(OFFSET(Fuel_prices[[#This Row],[Crude_Oil_Price]],-1,0)),0))*100,2)</f>
        <v>-5.37</v>
      </c>
      <c r="I415" s="2" t="str" cm="1">
        <f t="array" aca="1" ref="I415" ca="1">_xlfn.IFS(
    ABS(Fuel_prices[[#This Row],[%_change]])&gt;50,"SEVERE IMPACT",
    ABS(Fuel_prices[[#This Row],[%_change]])&gt;25,"HIGH IMPACT",
    ABS(Fuel_prices[[#This Row],[%_change]])&gt;5,"MID IMPACT",
    ABS(Fuel_prices[[#This Row],[%_change]])&lt;=5,"LITTLE IMPACT"
)</f>
        <v>MID IMPACT</v>
      </c>
    </row>
    <row r="416" spans="1:9" x14ac:dyDescent="0.25">
      <c r="A416" s="4">
        <v>38169</v>
      </c>
      <c r="B416" s="6" t="str">
        <f>_xlfn.CONCAT("Q",CEILING(Fuel_prices[[#This Row],[Month]]/3,1))</f>
        <v>Q3</v>
      </c>
      <c r="C416" s="6">
        <f>MONTH(Fuel_prices[[#This Row],[Date]])</f>
        <v>7</v>
      </c>
      <c r="D416" s="6" t="str">
        <f>TEXT(Fuel_prices[[#This Row],[Date]],"mmm")</f>
        <v>Jul</v>
      </c>
      <c r="E416" s="6">
        <f>YEAR(Fuel_prices[[#This Row],[Date]])</f>
        <v>2004</v>
      </c>
      <c r="F416" s="5">
        <v>37.891998557000001</v>
      </c>
      <c r="G416" s="2">
        <f ca="1">ROUND(IFERROR((Fuel_prices[[#This Row],[Crude_Oil_Price]]-OFFSET(Fuel_prices[[#This Row],[Crude_Oil_Price]],-1,0)),0),2)</f>
        <v>2.35</v>
      </c>
      <c r="H416" s="2">
        <f ca="1">ROUND((IFERROR((Fuel_prices[[#This Row],[Crude_Oil_Price]]-OFFSET(Fuel_prices[[#This Row],[Crude_Oil_Price]],-1,0))/(OFFSET(Fuel_prices[[#This Row],[Crude_Oil_Price]],-1,0)),0))*100,2)</f>
        <v>6.61</v>
      </c>
      <c r="I416" s="2" t="str" cm="1">
        <f t="array" aca="1" ref="I416" ca="1">_xlfn.IFS(
    ABS(Fuel_prices[[#This Row],[%_change]])&gt;50,"SEVERE IMPACT",
    ABS(Fuel_prices[[#This Row],[%_change]])&gt;25,"HIGH IMPACT",
    ABS(Fuel_prices[[#This Row],[%_change]])&gt;5,"MID IMPACT",
    ABS(Fuel_prices[[#This Row],[%_change]])&lt;=5,"LITTLE IMPACT"
)</f>
        <v>MID IMPACT</v>
      </c>
    </row>
    <row r="417" spans="1:9" x14ac:dyDescent="0.25">
      <c r="A417" s="4">
        <v>38200</v>
      </c>
      <c r="B417" s="6" t="str">
        <f>_xlfn.CONCAT("Q",CEILING(Fuel_prices[[#This Row],[Month]]/3,1))</f>
        <v>Q3</v>
      </c>
      <c r="C417" s="6">
        <f>MONTH(Fuel_prices[[#This Row],[Date]])</f>
        <v>8</v>
      </c>
      <c r="D417" s="6" t="str">
        <f>TEXT(Fuel_prices[[#This Row],[Date]],"mmm")</f>
        <v>Aug</v>
      </c>
      <c r="E417" s="6">
        <f>YEAR(Fuel_prices[[#This Row],[Date]])</f>
        <v>2004</v>
      </c>
      <c r="F417" s="5">
        <v>42.084069264070003</v>
      </c>
      <c r="G417" s="2">
        <f ca="1">ROUND(IFERROR((Fuel_prices[[#This Row],[Crude_Oil_Price]]-OFFSET(Fuel_prices[[#This Row],[Crude_Oil_Price]],-1,0)),0),2)</f>
        <v>4.1900000000000004</v>
      </c>
      <c r="H417" s="2">
        <f ca="1">ROUND((IFERROR((Fuel_prices[[#This Row],[Crude_Oil_Price]]-OFFSET(Fuel_prices[[#This Row],[Crude_Oil_Price]],-1,0))/(OFFSET(Fuel_prices[[#This Row],[Crude_Oil_Price]],-1,0)),0))*100,2)</f>
        <v>11.06</v>
      </c>
      <c r="I417" s="2" t="str" cm="1">
        <f t="array" aca="1" ref="I417" ca="1">_xlfn.IFS(
    ABS(Fuel_prices[[#This Row],[%_change]])&gt;50,"SEVERE IMPACT",
    ABS(Fuel_prices[[#This Row],[%_change]])&gt;25,"HIGH IMPACT",
    ABS(Fuel_prices[[#This Row],[%_change]])&gt;5,"MID IMPACT",
    ABS(Fuel_prices[[#This Row],[%_change]])&lt;=5,"LITTLE IMPACT"
)</f>
        <v>MID IMPACT</v>
      </c>
    </row>
    <row r="418" spans="1:9" x14ac:dyDescent="0.25">
      <c r="A418" s="4">
        <v>38231</v>
      </c>
      <c r="B418" s="6" t="str">
        <f>_xlfn.CONCAT("Q",CEILING(Fuel_prices[[#This Row],[Month]]/3,1))</f>
        <v>Q3</v>
      </c>
      <c r="C418" s="6">
        <f>MONTH(Fuel_prices[[#This Row],[Date]])</f>
        <v>9</v>
      </c>
      <c r="D418" s="6" t="str">
        <f>TEXT(Fuel_prices[[#This Row],[Date]],"mmm")</f>
        <v>Sep</v>
      </c>
      <c r="E418" s="6">
        <f>YEAR(Fuel_prices[[#This Row],[Date]])</f>
        <v>2004</v>
      </c>
      <c r="F418" s="5">
        <v>41.596825396829999</v>
      </c>
      <c r="G418" s="2">
        <f ca="1">ROUND(IFERROR((Fuel_prices[[#This Row],[Crude_Oil_Price]]-OFFSET(Fuel_prices[[#This Row],[Crude_Oil_Price]],-1,0)),0),2)</f>
        <v>-0.49</v>
      </c>
      <c r="H418" s="2">
        <f ca="1">ROUND((IFERROR((Fuel_prices[[#This Row],[Crude_Oil_Price]]-OFFSET(Fuel_prices[[#This Row],[Crude_Oil_Price]],-1,0))/(OFFSET(Fuel_prices[[#This Row],[Crude_Oil_Price]],-1,0)),0))*100,2)</f>
        <v>-1.1599999999999999</v>
      </c>
      <c r="I418" s="2" t="str" cm="1">
        <f t="array" aca="1" ref="I418" ca="1">_xlfn.IFS(
    ABS(Fuel_prices[[#This Row],[%_change]])&gt;50,"SEVERE IMPACT",
    ABS(Fuel_prices[[#This Row],[%_change]])&gt;25,"HIGH IMPACT",
    ABS(Fuel_prices[[#This Row],[%_change]])&gt;5,"MID IMPACT",
    ABS(Fuel_prices[[#This Row],[%_change]])&lt;=5,"LITTLE IMPACT"
)</f>
        <v>LITTLE IMPACT</v>
      </c>
    </row>
    <row r="419" spans="1:9" x14ac:dyDescent="0.25">
      <c r="A419" s="4">
        <v>38261</v>
      </c>
      <c r="B419" s="6" t="str">
        <f>_xlfn.CONCAT("Q",CEILING(Fuel_prices[[#This Row],[Month]]/3,1))</f>
        <v>Q4</v>
      </c>
      <c r="C419" s="6">
        <f>MONTH(Fuel_prices[[#This Row],[Date]])</f>
        <v>10</v>
      </c>
      <c r="D419" s="6" t="str">
        <f>TEXT(Fuel_prices[[#This Row],[Date]],"mmm")</f>
        <v>Oct</v>
      </c>
      <c r="E419" s="6">
        <f>YEAR(Fuel_prices[[#This Row],[Date]])</f>
        <v>2004</v>
      </c>
      <c r="F419" s="5">
        <v>46.881111111110002</v>
      </c>
      <c r="G419" s="2">
        <f ca="1">ROUND(IFERROR((Fuel_prices[[#This Row],[Crude_Oil_Price]]-OFFSET(Fuel_prices[[#This Row],[Crude_Oil_Price]],-1,0)),0),2)</f>
        <v>5.28</v>
      </c>
      <c r="H419" s="2">
        <f ca="1">ROUND((IFERROR((Fuel_prices[[#This Row],[Crude_Oil_Price]]-OFFSET(Fuel_prices[[#This Row],[Crude_Oil_Price]],-1,0))/(OFFSET(Fuel_prices[[#This Row],[Crude_Oil_Price]],-1,0)),0))*100,2)</f>
        <v>12.7</v>
      </c>
      <c r="I419" s="2" t="str" cm="1">
        <f t="array" aca="1" ref="I419" ca="1">_xlfn.IFS(
    ABS(Fuel_prices[[#This Row],[%_change]])&gt;50,"SEVERE IMPACT",
    ABS(Fuel_prices[[#This Row],[%_change]])&gt;25,"HIGH IMPACT",
    ABS(Fuel_prices[[#This Row],[%_change]])&gt;5,"MID IMPACT",
    ABS(Fuel_prices[[#This Row],[%_change]])&lt;=5,"LITTLE IMPACT"
)</f>
        <v>MID IMPACT</v>
      </c>
    </row>
    <row r="420" spans="1:9" x14ac:dyDescent="0.25">
      <c r="A420" s="4">
        <v>38292</v>
      </c>
      <c r="B420" s="6" t="str">
        <f>_xlfn.CONCAT("Q",CEILING(Fuel_prices[[#This Row],[Month]]/3,1))</f>
        <v>Q4</v>
      </c>
      <c r="C420" s="6">
        <f>MONTH(Fuel_prices[[#This Row],[Date]])</f>
        <v>11</v>
      </c>
      <c r="D420" s="6" t="str">
        <f>TEXT(Fuel_prices[[#This Row],[Date]],"mmm")</f>
        <v>Nov</v>
      </c>
      <c r="E420" s="6">
        <f>YEAR(Fuel_prices[[#This Row],[Date]])</f>
        <v>2004</v>
      </c>
      <c r="F420" s="5">
        <v>42.12554545455</v>
      </c>
      <c r="G420" s="2">
        <f ca="1">ROUND(IFERROR((Fuel_prices[[#This Row],[Crude_Oil_Price]]-OFFSET(Fuel_prices[[#This Row],[Crude_Oil_Price]],-1,0)),0),2)</f>
        <v>-4.76</v>
      </c>
      <c r="H420" s="2">
        <f ca="1">ROUND((IFERROR((Fuel_prices[[#This Row],[Crude_Oil_Price]]-OFFSET(Fuel_prices[[#This Row],[Crude_Oil_Price]],-1,0))/(OFFSET(Fuel_prices[[#This Row],[Crude_Oil_Price]],-1,0)),0))*100,2)</f>
        <v>-10.14</v>
      </c>
      <c r="I420" s="2" t="str" cm="1">
        <f t="array" aca="1" ref="I420" ca="1">_xlfn.IFS(
    ABS(Fuel_prices[[#This Row],[%_change]])&gt;50,"SEVERE IMPACT",
    ABS(Fuel_prices[[#This Row],[%_change]])&gt;25,"HIGH IMPACT",
    ABS(Fuel_prices[[#This Row],[%_change]])&gt;5,"MID IMPACT",
    ABS(Fuel_prices[[#This Row],[%_change]])&lt;=5,"LITTLE IMPACT"
)</f>
        <v>MID IMPACT</v>
      </c>
    </row>
    <row r="421" spans="1:9" x14ac:dyDescent="0.25">
      <c r="A421" s="4">
        <v>38322</v>
      </c>
      <c r="B421" s="6" t="str">
        <f>_xlfn.CONCAT("Q",CEILING(Fuel_prices[[#This Row],[Month]]/3,1))</f>
        <v>Q4</v>
      </c>
      <c r="C421" s="6">
        <f>MONTH(Fuel_prices[[#This Row],[Date]])</f>
        <v>12</v>
      </c>
      <c r="D421" s="6" t="str">
        <f>TEXT(Fuel_prices[[#This Row],[Date]],"mmm")</f>
        <v>Dec</v>
      </c>
      <c r="E421" s="6">
        <f>YEAR(Fuel_prices[[#This Row],[Date]])</f>
        <v>2004</v>
      </c>
      <c r="F421" s="5">
        <v>39.044944444439999</v>
      </c>
      <c r="G421" s="2">
        <f ca="1">ROUND(IFERROR((Fuel_prices[[#This Row],[Crude_Oil_Price]]-OFFSET(Fuel_prices[[#This Row],[Crude_Oil_Price]],-1,0)),0),2)</f>
        <v>-3.08</v>
      </c>
      <c r="H421" s="2">
        <f ca="1">ROUND((IFERROR((Fuel_prices[[#This Row],[Crude_Oil_Price]]-OFFSET(Fuel_prices[[#This Row],[Crude_Oil_Price]],-1,0))/(OFFSET(Fuel_prices[[#This Row],[Crude_Oil_Price]],-1,0)),0))*100,2)</f>
        <v>-7.31</v>
      </c>
      <c r="I421" s="2" t="str" cm="1">
        <f t="array" aca="1" ref="I421" ca="1">_xlfn.IFS(
    ABS(Fuel_prices[[#This Row],[%_change]])&gt;50,"SEVERE IMPACT",
    ABS(Fuel_prices[[#This Row],[%_change]])&gt;25,"HIGH IMPACT",
    ABS(Fuel_prices[[#This Row],[%_change]])&gt;5,"MID IMPACT",
    ABS(Fuel_prices[[#This Row],[%_change]])&lt;=5,"LITTLE IMPACT"
)</f>
        <v>MID IMPACT</v>
      </c>
    </row>
    <row r="422" spans="1:9" x14ac:dyDescent="0.25">
      <c r="A422" s="4">
        <v>38353</v>
      </c>
      <c r="B422" s="6" t="str">
        <f>_xlfn.CONCAT("Q",CEILING(Fuel_prices[[#This Row],[Month]]/3,1))</f>
        <v>Q1</v>
      </c>
      <c r="C422" s="6">
        <f>MONTH(Fuel_prices[[#This Row],[Date]])</f>
        <v>1</v>
      </c>
      <c r="D422" s="6" t="str">
        <f>TEXT(Fuel_prices[[#This Row],[Date]],"mmm")</f>
        <v>Jan</v>
      </c>
      <c r="E422" s="6">
        <f>YEAR(Fuel_prices[[#This Row],[Date]])</f>
        <v>2005</v>
      </c>
      <c r="F422" s="5">
        <v>42.97227777778</v>
      </c>
      <c r="G422" s="2">
        <f ca="1">ROUND(IFERROR((Fuel_prices[[#This Row],[Crude_Oil_Price]]-OFFSET(Fuel_prices[[#This Row],[Crude_Oil_Price]],-1,0)),0),2)</f>
        <v>3.93</v>
      </c>
      <c r="H422" s="2">
        <f ca="1">ROUND((IFERROR((Fuel_prices[[#This Row],[Crude_Oil_Price]]-OFFSET(Fuel_prices[[#This Row],[Crude_Oil_Price]],-1,0))/(OFFSET(Fuel_prices[[#This Row],[Crude_Oil_Price]],-1,0)),0))*100,2)</f>
        <v>10.06</v>
      </c>
      <c r="I422" s="2" t="str" cm="1">
        <f t="array" aca="1" ref="I422" ca="1">_xlfn.IFS(
    ABS(Fuel_prices[[#This Row],[%_change]])&gt;50,"SEVERE IMPACT",
    ABS(Fuel_prices[[#This Row],[%_change]])&gt;25,"HIGH IMPACT",
    ABS(Fuel_prices[[#This Row],[%_change]])&gt;5,"MID IMPACT",
    ABS(Fuel_prices[[#This Row],[%_change]])&lt;=5,"LITTLE IMPACT"
)</f>
        <v>MID IMPACT</v>
      </c>
    </row>
    <row r="423" spans="1:9" x14ac:dyDescent="0.25">
      <c r="A423" s="4">
        <v>38384</v>
      </c>
      <c r="B423" s="6" t="str">
        <f>_xlfn.CONCAT("Q",CEILING(Fuel_prices[[#This Row],[Month]]/3,1))</f>
        <v>Q1</v>
      </c>
      <c r="C423" s="6">
        <f>MONTH(Fuel_prices[[#This Row],[Date]])</f>
        <v>2</v>
      </c>
      <c r="D423" s="6" t="str">
        <f>TEXT(Fuel_prices[[#This Row],[Date]],"mmm")</f>
        <v>Feb</v>
      </c>
      <c r="E423" s="6">
        <f>YEAR(Fuel_prices[[#This Row],[Date]])</f>
        <v>2005</v>
      </c>
      <c r="F423" s="5">
        <v>44.818210526320001</v>
      </c>
      <c r="G423" s="2">
        <f ca="1">ROUND(IFERROR((Fuel_prices[[#This Row],[Crude_Oil_Price]]-OFFSET(Fuel_prices[[#This Row],[Crude_Oil_Price]],-1,0)),0),2)</f>
        <v>1.85</v>
      </c>
      <c r="H423" s="2">
        <f ca="1">ROUND((IFERROR((Fuel_prices[[#This Row],[Crude_Oil_Price]]-OFFSET(Fuel_prices[[#This Row],[Crude_Oil_Price]],-1,0))/(OFFSET(Fuel_prices[[#This Row],[Crude_Oil_Price]],-1,0)),0))*100,2)</f>
        <v>4.3</v>
      </c>
      <c r="I423" s="2" t="str" cm="1">
        <f t="array" aca="1" ref="I423" ca="1">_xlfn.IFS(
    ABS(Fuel_prices[[#This Row],[%_change]])&gt;50,"SEVERE IMPACT",
    ABS(Fuel_prices[[#This Row],[%_change]])&gt;25,"HIGH IMPACT",
    ABS(Fuel_prices[[#This Row],[%_change]])&gt;5,"MID IMPACT",
    ABS(Fuel_prices[[#This Row],[%_change]])&lt;=5,"LITTLE IMPACT"
)</f>
        <v>LITTLE IMPACT</v>
      </c>
    </row>
    <row r="424" spans="1:9" x14ac:dyDescent="0.25">
      <c r="A424" s="4">
        <v>38412</v>
      </c>
      <c r="B424" s="6" t="str">
        <f>_xlfn.CONCAT("Q",CEILING(Fuel_prices[[#This Row],[Month]]/3,1))</f>
        <v>Q1</v>
      </c>
      <c r="C424" s="6">
        <f>MONTH(Fuel_prices[[#This Row],[Date]])</f>
        <v>3</v>
      </c>
      <c r="D424" s="6" t="str">
        <f>TEXT(Fuel_prices[[#This Row],[Date]],"mmm")</f>
        <v>Mar</v>
      </c>
      <c r="E424" s="6">
        <f>YEAR(Fuel_prices[[#This Row],[Date]])</f>
        <v>2005</v>
      </c>
      <c r="F424" s="5">
        <v>50.942878787879998</v>
      </c>
      <c r="G424" s="2">
        <f ca="1">ROUND(IFERROR((Fuel_prices[[#This Row],[Crude_Oil_Price]]-OFFSET(Fuel_prices[[#This Row],[Crude_Oil_Price]],-1,0)),0),2)</f>
        <v>6.12</v>
      </c>
      <c r="H424" s="2">
        <f ca="1">ROUND((IFERROR((Fuel_prices[[#This Row],[Crude_Oil_Price]]-OFFSET(Fuel_prices[[#This Row],[Crude_Oil_Price]],-1,0))/(OFFSET(Fuel_prices[[#This Row],[Crude_Oil_Price]],-1,0)),0))*100,2)</f>
        <v>13.67</v>
      </c>
      <c r="I424" s="2" t="str" cm="1">
        <f t="array" aca="1" ref="I424" ca="1">_xlfn.IFS(
    ABS(Fuel_prices[[#This Row],[%_change]])&gt;50,"SEVERE IMPACT",
    ABS(Fuel_prices[[#This Row],[%_change]])&gt;25,"HIGH IMPACT",
    ABS(Fuel_prices[[#This Row],[%_change]])&gt;5,"MID IMPACT",
    ABS(Fuel_prices[[#This Row],[%_change]])&lt;=5,"LITTLE IMPACT"
)</f>
        <v>MID IMPACT</v>
      </c>
    </row>
    <row r="425" spans="1:9" x14ac:dyDescent="0.25">
      <c r="A425" s="4">
        <v>38443</v>
      </c>
      <c r="B425" s="6" t="str">
        <f>_xlfn.CONCAT("Q",CEILING(Fuel_prices[[#This Row],[Month]]/3,1))</f>
        <v>Q2</v>
      </c>
      <c r="C425" s="6">
        <f>MONTH(Fuel_prices[[#This Row],[Date]])</f>
        <v>4</v>
      </c>
      <c r="D425" s="6" t="str">
        <f>TEXT(Fuel_prices[[#This Row],[Date]],"mmm")</f>
        <v>Apr</v>
      </c>
      <c r="E425" s="6">
        <f>YEAR(Fuel_prices[[#This Row],[Date]])</f>
        <v>2005</v>
      </c>
      <c r="F425" s="5">
        <v>50.640476190480001</v>
      </c>
      <c r="G425" s="2">
        <f ca="1">ROUND(IFERROR((Fuel_prices[[#This Row],[Crude_Oil_Price]]-OFFSET(Fuel_prices[[#This Row],[Crude_Oil_Price]],-1,0)),0),2)</f>
        <v>-0.3</v>
      </c>
      <c r="H425" s="2">
        <f ca="1">ROUND((IFERROR((Fuel_prices[[#This Row],[Crude_Oil_Price]]-OFFSET(Fuel_prices[[#This Row],[Crude_Oil_Price]],-1,0))/(OFFSET(Fuel_prices[[#This Row],[Crude_Oil_Price]],-1,0)),0))*100,2)</f>
        <v>-0.59</v>
      </c>
      <c r="I425" s="2" t="str" cm="1">
        <f t="array" aca="1" ref="I425" ca="1">_xlfn.IFS(
    ABS(Fuel_prices[[#This Row],[%_change]])&gt;50,"SEVERE IMPACT",
    ABS(Fuel_prices[[#This Row],[%_change]])&gt;25,"HIGH IMPACT",
    ABS(Fuel_prices[[#This Row],[%_change]])&gt;5,"MID IMPACT",
    ABS(Fuel_prices[[#This Row],[%_change]])&lt;=5,"LITTLE IMPACT"
)</f>
        <v>LITTLE IMPACT</v>
      </c>
    </row>
    <row r="426" spans="1:9" x14ac:dyDescent="0.25">
      <c r="A426" s="4">
        <v>38473</v>
      </c>
      <c r="B426" s="6" t="str">
        <f>_xlfn.CONCAT("Q",CEILING(Fuel_prices[[#This Row],[Month]]/3,1))</f>
        <v>Q2</v>
      </c>
      <c r="C426" s="6">
        <f>MONTH(Fuel_prices[[#This Row],[Date]])</f>
        <v>5</v>
      </c>
      <c r="D426" s="6" t="str">
        <f>TEXT(Fuel_prices[[#This Row],[Date]],"mmm")</f>
        <v>May</v>
      </c>
      <c r="E426" s="6">
        <f>YEAR(Fuel_prices[[#This Row],[Date]])</f>
        <v>2005</v>
      </c>
      <c r="F426" s="5">
        <v>47.826572871570001</v>
      </c>
      <c r="G426" s="2">
        <f ca="1">ROUND(IFERROR((Fuel_prices[[#This Row],[Crude_Oil_Price]]-OFFSET(Fuel_prices[[#This Row],[Crude_Oil_Price]],-1,0)),0),2)</f>
        <v>-2.81</v>
      </c>
      <c r="H426" s="2">
        <f ca="1">ROUND((IFERROR((Fuel_prices[[#This Row],[Crude_Oil_Price]]-OFFSET(Fuel_prices[[#This Row],[Crude_Oil_Price]],-1,0))/(OFFSET(Fuel_prices[[#This Row],[Crude_Oil_Price]],-1,0)),0))*100,2)</f>
        <v>-5.56</v>
      </c>
      <c r="I426" s="2" t="str" cm="1">
        <f t="array" aca="1" ref="I426" ca="1">_xlfn.IFS(
    ABS(Fuel_prices[[#This Row],[%_change]])&gt;50,"SEVERE IMPACT",
    ABS(Fuel_prices[[#This Row],[%_change]])&gt;25,"HIGH IMPACT",
    ABS(Fuel_prices[[#This Row],[%_change]])&gt;5,"MID IMPACT",
    ABS(Fuel_prices[[#This Row],[%_change]])&lt;=5,"LITTLE IMPACT"
)</f>
        <v>MID IMPACT</v>
      </c>
    </row>
    <row r="427" spans="1:9" x14ac:dyDescent="0.25">
      <c r="A427" s="4">
        <v>38504</v>
      </c>
      <c r="B427" s="6" t="str">
        <f>_xlfn.CONCAT("Q",CEILING(Fuel_prices[[#This Row],[Month]]/3,1))</f>
        <v>Q2</v>
      </c>
      <c r="C427" s="6">
        <f>MONTH(Fuel_prices[[#This Row],[Date]])</f>
        <v>6</v>
      </c>
      <c r="D427" s="6" t="str">
        <f>TEXT(Fuel_prices[[#This Row],[Date]],"mmm")</f>
        <v>Jun</v>
      </c>
      <c r="E427" s="6">
        <f>YEAR(Fuel_prices[[#This Row],[Date]])</f>
        <v>2005</v>
      </c>
      <c r="F427" s="5">
        <v>53.890303030299997</v>
      </c>
      <c r="G427" s="2">
        <f ca="1">ROUND(IFERROR((Fuel_prices[[#This Row],[Crude_Oil_Price]]-OFFSET(Fuel_prices[[#This Row],[Crude_Oil_Price]],-1,0)),0),2)</f>
        <v>6.06</v>
      </c>
      <c r="H427" s="2">
        <f ca="1">ROUND((IFERROR((Fuel_prices[[#This Row],[Crude_Oil_Price]]-OFFSET(Fuel_prices[[#This Row],[Crude_Oil_Price]],-1,0))/(OFFSET(Fuel_prices[[#This Row],[Crude_Oil_Price]],-1,0)),0))*100,2)</f>
        <v>12.68</v>
      </c>
      <c r="I427" s="2" t="str" cm="1">
        <f t="array" aca="1" ref="I427" ca="1">_xlfn.IFS(
    ABS(Fuel_prices[[#This Row],[%_change]])&gt;50,"SEVERE IMPACT",
    ABS(Fuel_prices[[#This Row],[%_change]])&gt;25,"HIGH IMPACT",
    ABS(Fuel_prices[[#This Row],[%_change]])&gt;5,"MID IMPACT",
    ABS(Fuel_prices[[#This Row],[%_change]])&lt;=5,"LITTLE IMPACT"
)</f>
        <v>MID IMPACT</v>
      </c>
    </row>
    <row r="428" spans="1:9" x14ac:dyDescent="0.25">
      <c r="A428" s="4">
        <v>38534</v>
      </c>
      <c r="B428" s="6" t="str">
        <f>_xlfn.CONCAT("Q",CEILING(Fuel_prices[[#This Row],[Month]]/3,1))</f>
        <v>Q3</v>
      </c>
      <c r="C428" s="6">
        <f>MONTH(Fuel_prices[[#This Row],[Date]])</f>
        <v>7</v>
      </c>
      <c r="D428" s="6" t="str">
        <f>TEXT(Fuel_prices[[#This Row],[Date]],"mmm")</f>
        <v>Jul</v>
      </c>
      <c r="E428" s="6">
        <f>YEAR(Fuel_prices[[#This Row],[Date]])</f>
        <v>2005</v>
      </c>
      <c r="F428" s="5">
        <v>56.36580952381</v>
      </c>
      <c r="G428" s="2">
        <f ca="1">ROUND(IFERROR((Fuel_prices[[#This Row],[Crude_Oil_Price]]-OFFSET(Fuel_prices[[#This Row],[Crude_Oil_Price]],-1,0)),0),2)</f>
        <v>2.48</v>
      </c>
      <c r="H428" s="2">
        <f ca="1">ROUND((IFERROR((Fuel_prices[[#This Row],[Crude_Oil_Price]]-OFFSET(Fuel_prices[[#This Row],[Crude_Oil_Price]],-1,0))/(OFFSET(Fuel_prices[[#This Row],[Crude_Oil_Price]],-1,0)),0))*100,2)</f>
        <v>4.59</v>
      </c>
      <c r="I428" s="2" t="str" cm="1">
        <f t="array" aca="1" ref="I428" ca="1">_xlfn.IFS(
    ABS(Fuel_prices[[#This Row],[%_change]])&gt;50,"SEVERE IMPACT",
    ABS(Fuel_prices[[#This Row],[%_change]])&gt;25,"HIGH IMPACT",
    ABS(Fuel_prices[[#This Row],[%_change]])&gt;5,"MID IMPACT",
    ABS(Fuel_prices[[#This Row],[%_change]])&lt;=5,"LITTLE IMPACT"
)</f>
        <v>LITTLE IMPACT</v>
      </c>
    </row>
    <row r="429" spans="1:9" x14ac:dyDescent="0.25">
      <c r="A429" s="4">
        <v>38565</v>
      </c>
      <c r="B429" s="6" t="str">
        <f>_xlfn.CONCAT("Q",CEILING(Fuel_prices[[#This Row],[Month]]/3,1))</f>
        <v>Q3</v>
      </c>
      <c r="C429" s="6">
        <f>MONTH(Fuel_prices[[#This Row],[Date]])</f>
        <v>8</v>
      </c>
      <c r="D429" s="6" t="str">
        <f>TEXT(Fuel_prices[[#This Row],[Date]],"mmm")</f>
        <v>Aug</v>
      </c>
      <c r="E429" s="6">
        <f>YEAR(Fuel_prices[[#This Row],[Date]])</f>
        <v>2005</v>
      </c>
      <c r="F429" s="5">
        <v>61.890520421609999</v>
      </c>
      <c r="G429" s="2">
        <f ca="1">ROUND(IFERROR((Fuel_prices[[#This Row],[Crude_Oil_Price]]-OFFSET(Fuel_prices[[#This Row],[Crude_Oil_Price]],-1,0)),0),2)</f>
        <v>5.52</v>
      </c>
      <c r="H429" s="2">
        <f ca="1">ROUND((IFERROR((Fuel_prices[[#This Row],[Crude_Oil_Price]]-OFFSET(Fuel_prices[[#This Row],[Crude_Oil_Price]],-1,0))/(OFFSET(Fuel_prices[[#This Row],[Crude_Oil_Price]],-1,0)),0))*100,2)</f>
        <v>9.8000000000000007</v>
      </c>
      <c r="I429" s="2" t="str" cm="1">
        <f t="array" aca="1" ref="I429" ca="1">_xlfn.IFS(
    ABS(Fuel_prices[[#This Row],[%_change]])&gt;50,"SEVERE IMPACT",
    ABS(Fuel_prices[[#This Row],[%_change]])&gt;25,"HIGH IMPACT",
    ABS(Fuel_prices[[#This Row],[%_change]])&gt;5,"MID IMPACT",
    ABS(Fuel_prices[[#This Row],[%_change]])&lt;=5,"LITTLE IMPACT"
)</f>
        <v>MID IMPACT</v>
      </c>
    </row>
    <row r="430" spans="1:9" x14ac:dyDescent="0.25">
      <c r="A430" s="4">
        <v>38596</v>
      </c>
      <c r="B430" s="6" t="str">
        <f>_xlfn.CONCAT("Q",CEILING(Fuel_prices[[#This Row],[Month]]/3,1))</f>
        <v>Q3</v>
      </c>
      <c r="C430" s="6">
        <f>MONTH(Fuel_prices[[#This Row],[Date]])</f>
        <v>9</v>
      </c>
      <c r="D430" s="6" t="str">
        <f>TEXT(Fuel_prices[[#This Row],[Date]],"mmm")</f>
        <v>Sep</v>
      </c>
      <c r="E430" s="6">
        <f>YEAR(Fuel_prices[[#This Row],[Date]])</f>
        <v>2005</v>
      </c>
      <c r="F430" s="5">
        <v>61.687698412700001</v>
      </c>
      <c r="G430" s="2">
        <f ca="1">ROUND(IFERROR((Fuel_prices[[#This Row],[Crude_Oil_Price]]-OFFSET(Fuel_prices[[#This Row],[Crude_Oil_Price]],-1,0)),0),2)</f>
        <v>-0.2</v>
      </c>
      <c r="H430" s="2">
        <f ca="1">ROUND((IFERROR((Fuel_prices[[#This Row],[Crude_Oil_Price]]-OFFSET(Fuel_prices[[#This Row],[Crude_Oil_Price]],-1,0))/(OFFSET(Fuel_prices[[#This Row],[Crude_Oil_Price]],-1,0)),0))*100,2)</f>
        <v>-0.33</v>
      </c>
      <c r="I430" s="2" t="str" cm="1">
        <f t="array" aca="1" ref="I430" ca="1">_xlfn.IFS(
    ABS(Fuel_prices[[#This Row],[%_change]])&gt;50,"SEVERE IMPACT",
    ABS(Fuel_prices[[#This Row],[%_change]])&gt;25,"HIGH IMPACT",
    ABS(Fuel_prices[[#This Row],[%_change]])&gt;5,"MID IMPACT",
    ABS(Fuel_prices[[#This Row],[%_change]])&lt;=5,"LITTLE IMPACT"
)</f>
        <v>LITTLE IMPACT</v>
      </c>
    </row>
    <row r="431" spans="1:9" x14ac:dyDescent="0.25">
      <c r="A431" s="4">
        <v>38626</v>
      </c>
      <c r="B431" s="6" t="str">
        <f>_xlfn.CONCAT("Q",CEILING(Fuel_prices[[#This Row],[Month]]/3,1))</f>
        <v>Q4</v>
      </c>
      <c r="C431" s="6">
        <f>MONTH(Fuel_prices[[#This Row],[Date]])</f>
        <v>10</v>
      </c>
      <c r="D431" s="6" t="str">
        <f>TEXT(Fuel_prices[[#This Row],[Date]],"mmm")</f>
        <v>Oct</v>
      </c>
      <c r="E431" s="6">
        <f>YEAR(Fuel_prices[[#This Row],[Date]])</f>
        <v>2005</v>
      </c>
      <c r="F431" s="5">
        <v>58.18507936508</v>
      </c>
      <c r="G431" s="2">
        <f ca="1">ROUND(IFERROR((Fuel_prices[[#This Row],[Crude_Oil_Price]]-OFFSET(Fuel_prices[[#This Row],[Crude_Oil_Price]],-1,0)),0),2)</f>
        <v>-3.5</v>
      </c>
      <c r="H431" s="2">
        <f ca="1">ROUND((IFERROR((Fuel_prices[[#This Row],[Crude_Oil_Price]]-OFFSET(Fuel_prices[[#This Row],[Crude_Oil_Price]],-1,0))/(OFFSET(Fuel_prices[[#This Row],[Crude_Oil_Price]],-1,0)),0))*100,2)</f>
        <v>-5.68</v>
      </c>
      <c r="I431" s="2" t="str" cm="1">
        <f t="array" aca="1" ref="I431" ca="1">_xlfn.IFS(
    ABS(Fuel_prices[[#This Row],[%_change]])&gt;50,"SEVERE IMPACT",
    ABS(Fuel_prices[[#This Row],[%_change]])&gt;25,"HIGH IMPACT",
    ABS(Fuel_prices[[#This Row],[%_change]])&gt;5,"MID IMPACT",
    ABS(Fuel_prices[[#This Row],[%_change]])&lt;=5,"LITTLE IMPACT"
)</f>
        <v>MID IMPACT</v>
      </c>
    </row>
    <row r="432" spans="1:9" x14ac:dyDescent="0.25">
      <c r="A432" s="4">
        <v>38657</v>
      </c>
      <c r="B432" s="6" t="str">
        <f>_xlfn.CONCAT("Q",CEILING(Fuel_prices[[#This Row],[Month]]/3,1))</f>
        <v>Q4</v>
      </c>
      <c r="C432" s="6">
        <f>MONTH(Fuel_prices[[#This Row],[Date]])</f>
        <v>11</v>
      </c>
      <c r="D432" s="6" t="str">
        <f>TEXT(Fuel_prices[[#This Row],[Date]],"mmm")</f>
        <v>Nov</v>
      </c>
      <c r="E432" s="6">
        <f>YEAR(Fuel_prices[[#This Row],[Date]])</f>
        <v>2005</v>
      </c>
      <c r="F432" s="5">
        <v>55.042825396829997</v>
      </c>
      <c r="G432" s="2">
        <f ca="1">ROUND(IFERROR((Fuel_prices[[#This Row],[Crude_Oil_Price]]-OFFSET(Fuel_prices[[#This Row],[Crude_Oil_Price]],-1,0)),0),2)</f>
        <v>-3.14</v>
      </c>
      <c r="H432" s="2">
        <f ca="1">ROUND((IFERROR((Fuel_prices[[#This Row],[Crude_Oil_Price]]-OFFSET(Fuel_prices[[#This Row],[Crude_Oil_Price]],-1,0))/(OFFSET(Fuel_prices[[#This Row],[Crude_Oil_Price]],-1,0)),0))*100,2)</f>
        <v>-5.4</v>
      </c>
      <c r="I432" s="2" t="str" cm="1">
        <f t="array" aca="1" ref="I432" ca="1">_xlfn.IFS(
    ABS(Fuel_prices[[#This Row],[%_change]])&gt;50,"SEVERE IMPACT",
    ABS(Fuel_prices[[#This Row],[%_change]])&gt;25,"HIGH IMPACT",
    ABS(Fuel_prices[[#This Row],[%_change]])&gt;5,"MID IMPACT",
    ABS(Fuel_prices[[#This Row],[%_change]])&lt;=5,"LITTLE IMPACT"
)</f>
        <v>MID IMPACT</v>
      </c>
    </row>
    <row r="433" spans="1:9" x14ac:dyDescent="0.25">
      <c r="A433" s="4">
        <v>38687</v>
      </c>
      <c r="B433" s="6" t="str">
        <f>_xlfn.CONCAT("Q",CEILING(Fuel_prices[[#This Row],[Month]]/3,1))</f>
        <v>Q4</v>
      </c>
      <c r="C433" s="6">
        <f>MONTH(Fuel_prices[[#This Row],[Date]])</f>
        <v>12</v>
      </c>
      <c r="D433" s="6" t="str">
        <f>TEXT(Fuel_prices[[#This Row],[Date]],"mmm")</f>
        <v>Dec</v>
      </c>
      <c r="E433" s="6">
        <f>YEAR(Fuel_prices[[#This Row],[Date]])</f>
        <v>2005</v>
      </c>
      <c r="F433" s="5">
        <v>56.429642857140003</v>
      </c>
      <c r="G433" s="2">
        <f ca="1">ROUND(IFERROR((Fuel_prices[[#This Row],[Crude_Oil_Price]]-OFFSET(Fuel_prices[[#This Row],[Crude_Oil_Price]],-1,0)),0),2)</f>
        <v>1.39</v>
      </c>
      <c r="H433" s="2">
        <f ca="1">ROUND((IFERROR((Fuel_prices[[#This Row],[Crude_Oil_Price]]-OFFSET(Fuel_prices[[#This Row],[Crude_Oil_Price]],-1,0))/(OFFSET(Fuel_prices[[#This Row],[Crude_Oil_Price]],-1,0)),0))*100,2)</f>
        <v>2.52</v>
      </c>
      <c r="I433" s="2" t="str" cm="1">
        <f t="array" aca="1" ref="I433" ca="1">_xlfn.IFS(
    ABS(Fuel_prices[[#This Row],[%_change]])&gt;50,"SEVERE IMPACT",
    ABS(Fuel_prices[[#This Row],[%_change]])&gt;25,"HIGH IMPACT",
    ABS(Fuel_prices[[#This Row],[%_change]])&gt;5,"MID IMPACT",
    ABS(Fuel_prices[[#This Row],[%_change]])&lt;=5,"LITTLE IMPACT"
)</f>
        <v>LITTLE IMPACT</v>
      </c>
    </row>
    <row r="434" spans="1:9" x14ac:dyDescent="0.25">
      <c r="A434" s="4">
        <v>38718</v>
      </c>
      <c r="B434" s="6" t="str">
        <f>_xlfn.CONCAT("Q",CEILING(Fuel_prices[[#This Row],[Month]]/3,1))</f>
        <v>Q1</v>
      </c>
      <c r="C434" s="6">
        <f>MONTH(Fuel_prices[[#This Row],[Date]])</f>
        <v>1</v>
      </c>
      <c r="D434" s="6" t="str">
        <f>TEXT(Fuel_prices[[#This Row],[Date]],"mmm")</f>
        <v>Jan</v>
      </c>
      <c r="E434" s="6">
        <f>YEAR(Fuel_prices[[#This Row],[Date]])</f>
        <v>2006</v>
      </c>
      <c r="F434" s="5">
        <v>62.45703968254</v>
      </c>
      <c r="G434" s="2">
        <f ca="1">ROUND(IFERROR((Fuel_prices[[#This Row],[Crude_Oil_Price]]-OFFSET(Fuel_prices[[#This Row],[Crude_Oil_Price]],-1,0)),0),2)</f>
        <v>6.03</v>
      </c>
      <c r="H434" s="2">
        <f ca="1">ROUND((IFERROR((Fuel_prices[[#This Row],[Crude_Oil_Price]]-OFFSET(Fuel_prices[[#This Row],[Crude_Oil_Price]],-1,0))/(OFFSET(Fuel_prices[[#This Row],[Crude_Oil_Price]],-1,0)),0))*100,2)</f>
        <v>10.68</v>
      </c>
      <c r="I434" s="2" t="str" cm="1">
        <f t="array" aca="1" ref="I434" ca="1">_xlfn.IFS(
    ABS(Fuel_prices[[#This Row],[%_change]])&gt;50,"SEVERE IMPACT",
    ABS(Fuel_prices[[#This Row],[%_change]])&gt;25,"HIGH IMPACT",
    ABS(Fuel_prices[[#This Row],[%_change]])&gt;5,"MID IMPACT",
    ABS(Fuel_prices[[#This Row],[%_change]])&lt;=5,"LITTLE IMPACT"
)</f>
        <v>MID IMPACT</v>
      </c>
    </row>
    <row r="435" spans="1:9" x14ac:dyDescent="0.25">
      <c r="A435" s="4">
        <v>38749</v>
      </c>
      <c r="B435" s="6" t="str">
        <f>_xlfn.CONCAT("Q",CEILING(Fuel_prices[[#This Row],[Month]]/3,1))</f>
        <v>Q1</v>
      </c>
      <c r="C435" s="6">
        <f>MONTH(Fuel_prices[[#This Row],[Date]])</f>
        <v>2</v>
      </c>
      <c r="D435" s="6" t="str">
        <f>TEXT(Fuel_prices[[#This Row],[Date]],"mmm")</f>
        <v>Feb</v>
      </c>
      <c r="E435" s="6">
        <f>YEAR(Fuel_prices[[#This Row],[Date]])</f>
        <v>2006</v>
      </c>
      <c r="F435" s="5">
        <v>59.704921052629999</v>
      </c>
      <c r="G435" s="2">
        <f ca="1">ROUND(IFERROR((Fuel_prices[[#This Row],[Crude_Oil_Price]]-OFFSET(Fuel_prices[[#This Row],[Crude_Oil_Price]],-1,0)),0),2)</f>
        <v>-2.75</v>
      </c>
      <c r="H435" s="2">
        <f ca="1">ROUND((IFERROR((Fuel_prices[[#This Row],[Crude_Oil_Price]]-OFFSET(Fuel_prices[[#This Row],[Crude_Oil_Price]],-1,0))/(OFFSET(Fuel_prices[[#This Row],[Crude_Oil_Price]],-1,0)),0))*100,2)</f>
        <v>-4.41</v>
      </c>
      <c r="I435" s="2" t="str" cm="1">
        <f t="array" aca="1" ref="I435" ca="1">_xlfn.IFS(
    ABS(Fuel_prices[[#This Row],[%_change]])&gt;50,"SEVERE IMPACT",
    ABS(Fuel_prices[[#This Row],[%_change]])&gt;25,"HIGH IMPACT",
    ABS(Fuel_prices[[#This Row],[%_change]])&gt;5,"MID IMPACT",
    ABS(Fuel_prices[[#This Row],[%_change]])&lt;=5,"LITTLE IMPACT"
)</f>
        <v>LITTLE IMPACT</v>
      </c>
    </row>
    <row r="436" spans="1:9" x14ac:dyDescent="0.25">
      <c r="A436" s="4">
        <v>38777</v>
      </c>
      <c r="B436" s="6" t="str">
        <f>_xlfn.CONCAT("Q",CEILING(Fuel_prices[[#This Row],[Month]]/3,1))</f>
        <v>Q1</v>
      </c>
      <c r="C436" s="6">
        <f>MONTH(Fuel_prices[[#This Row],[Date]])</f>
        <v>3</v>
      </c>
      <c r="D436" s="6" t="str">
        <f>TEXT(Fuel_prices[[#This Row],[Date]],"mmm")</f>
        <v>Mar</v>
      </c>
      <c r="E436" s="6">
        <f>YEAR(Fuel_prices[[#This Row],[Date]])</f>
        <v>2006</v>
      </c>
      <c r="F436" s="5">
        <v>60.929275362319999</v>
      </c>
      <c r="G436" s="2">
        <f ca="1">ROUND(IFERROR((Fuel_prices[[#This Row],[Crude_Oil_Price]]-OFFSET(Fuel_prices[[#This Row],[Crude_Oil_Price]],-1,0)),0),2)</f>
        <v>1.22</v>
      </c>
      <c r="H436" s="2">
        <f ca="1">ROUND((IFERROR((Fuel_prices[[#This Row],[Crude_Oil_Price]]-OFFSET(Fuel_prices[[#This Row],[Crude_Oil_Price]],-1,0))/(OFFSET(Fuel_prices[[#This Row],[Crude_Oil_Price]],-1,0)),0))*100,2)</f>
        <v>2.0499999999999998</v>
      </c>
      <c r="I436" s="2" t="str" cm="1">
        <f t="array" aca="1" ref="I436" ca="1">_xlfn.IFS(
    ABS(Fuel_prices[[#This Row],[%_change]])&gt;50,"SEVERE IMPACT",
    ABS(Fuel_prices[[#This Row],[%_change]])&gt;25,"HIGH IMPACT",
    ABS(Fuel_prices[[#This Row],[%_change]])&gt;5,"MID IMPACT",
    ABS(Fuel_prices[[#This Row],[%_change]])&lt;=5,"LITTLE IMPACT"
)</f>
        <v>LITTLE IMPACT</v>
      </c>
    </row>
    <row r="437" spans="1:9" x14ac:dyDescent="0.25">
      <c r="A437" s="4">
        <v>38808</v>
      </c>
      <c r="B437" s="6" t="str">
        <f>_xlfn.CONCAT("Q",CEILING(Fuel_prices[[#This Row],[Month]]/3,1))</f>
        <v>Q2</v>
      </c>
      <c r="C437" s="6">
        <f>MONTH(Fuel_prices[[#This Row],[Date]])</f>
        <v>4</v>
      </c>
      <c r="D437" s="6" t="str">
        <f>TEXT(Fuel_prices[[#This Row],[Date]],"mmm")</f>
        <v>Apr</v>
      </c>
      <c r="E437" s="6">
        <f>YEAR(Fuel_prices[[#This Row],[Date]])</f>
        <v>2006</v>
      </c>
      <c r="F437" s="5">
        <v>67.970575048729998</v>
      </c>
      <c r="G437" s="2">
        <f ca="1">ROUND(IFERROR((Fuel_prices[[#This Row],[Crude_Oil_Price]]-OFFSET(Fuel_prices[[#This Row],[Crude_Oil_Price]],-1,0)),0),2)</f>
        <v>7.04</v>
      </c>
      <c r="H437" s="2">
        <f ca="1">ROUND((IFERROR((Fuel_prices[[#This Row],[Crude_Oil_Price]]-OFFSET(Fuel_prices[[#This Row],[Crude_Oil_Price]],-1,0))/(OFFSET(Fuel_prices[[#This Row],[Crude_Oil_Price]],-1,0)),0))*100,2)</f>
        <v>11.56</v>
      </c>
      <c r="I437" s="2" t="str" cm="1">
        <f t="array" aca="1" ref="I437" ca="1">_xlfn.IFS(
    ABS(Fuel_prices[[#This Row],[%_change]])&gt;50,"SEVERE IMPACT",
    ABS(Fuel_prices[[#This Row],[%_change]])&gt;25,"HIGH IMPACT",
    ABS(Fuel_prices[[#This Row],[%_change]])&gt;5,"MID IMPACT",
    ABS(Fuel_prices[[#This Row],[%_change]])&lt;=5,"LITTLE IMPACT"
)</f>
        <v>MID IMPACT</v>
      </c>
    </row>
    <row r="438" spans="1:9" x14ac:dyDescent="0.25">
      <c r="A438" s="4">
        <v>38838</v>
      </c>
      <c r="B438" s="6" t="str">
        <f>_xlfn.CONCAT("Q",CEILING(Fuel_prices[[#This Row],[Month]]/3,1))</f>
        <v>Q2</v>
      </c>
      <c r="C438" s="6">
        <f>MONTH(Fuel_prices[[#This Row],[Date]])</f>
        <v>5</v>
      </c>
      <c r="D438" s="6" t="str">
        <f>TEXT(Fuel_prices[[#This Row],[Date]],"mmm")</f>
        <v>May</v>
      </c>
      <c r="E438" s="6">
        <f>YEAR(Fuel_prices[[#This Row],[Date]])</f>
        <v>2006</v>
      </c>
      <c r="F438" s="5">
        <v>68.675948616599996</v>
      </c>
      <c r="G438" s="2">
        <f ca="1">ROUND(IFERROR((Fuel_prices[[#This Row],[Crude_Oil_Price]]-OFFSET(Fuel_prices[[#This Row],[Crude_Oil_Price]],-1,0)),0),2)</f>
        <v>0.71</v>
      </c>
      <c r="H438" s="2">
        <f ca="1">ROUND((IFERROR((Fuel_prices[[#This Row],[Crude_Oil_Price]]-OFFSET(Fuel_prices[[#This Row],[Crude_Oil_Price]],-1,0))/(OFFSET(Fuel_prices[[#This Row],[Crude_Oil_Price]],-1,0)),0))*100,2)</f>
        <v>1.04</v>
      </c>
      <c r="I438" s="2" t="str" cm="1">
        <f t="array" aca="1" ref="I438" ca="1">_xlfn.IFS(
    ABS(Fuel_prices[[#This Row],[%_change]])&gt;50,"SEVERE IMPACT",
    ABS(Fuel_prices[[#This Row],[%_change]])&gt;25,"HIGH IMPACT",
    ABS(Fuel_prices[[#This Row],[%_change]])&gt;5,"MID IMPACT",
    ABS(Fuel_prices[[#This Row],[%_change]])&lt;=5,"LITTLE IMPACT"
)</f>
        <v>LITTLE IMPACT</v>
      </c>
    </row>
    <row r="439" spans="1:9" x14ac:dyDescent="0.25">
      <c r="A439" s="4">
        <v>38869</v>
      </c>
      <c r="B439" s="6" t="str">
        <f>_xlfn.CONCAT("Q",CEILING(Fuel_prices[[#This Row],[Month]]/3,1))</f>
        <v>Q2</v>
      </c>
      <c r="C439" s="6">
        <f>MONTH(Fuel_prices[[#This Row],[Date]])</f>
        <v>6</v>
      </c>
      <c r="D439" s="6" t="str">
        <f>TEXT(Fuel_prices[[#This Row],[Date]],"mmm")</f>
        <v>Jun</v>
      </c>
      <c r="E439" s="6">
        <f>YEAR(Fuel_prices[[#This Row],[Date]])</f>
        <v>2006</v>
      </c>
      <c r="F439" s="5">
        <v>68.290151515150001</v>
      </c>
      <c r="G439" s="2">
        <f ca="1">ROUND(IFERROR((Fuel_prices[[#This Row],[Crude_Oil_Price]]-OFFSET(Fuel_prices[[#This Row],[Crude_Oil_Price]],-1,0)),0),2)</f>
        <v>-0.39</v>
      </c>
      <c r="H439" s="2">
        <f ca="1">ROUND((IFERROR((Fuel_prices[[#This Row],[Crude_Oil_Price]]-OFFSET(Fuel_prices[[#This Row],[Crude_Oil_Price]],-1,0))/(OFFSET(Fuel_prices[[#This Row],[Crude_Oil_Price]],-1,0)),0))*100,2)</f>
        <v>-0.56000000000000005</v>
      </c>
      <c r="I439" s="2" t="str" cm="1">
        <f t="array" aca="1" ref="I439" ca="1">_xlfn.IFS(
    ABS(Fuel_prices[[#This Row],[%_change]])&gt;50,"SEVERE IMPACT",
    ABS(Fuel_prices[[#This Row],[%_change]])&gt;25,"HIGH IMPACT",
    ABS(Fuel_prices[[#This Row],[%_change]])&gt;5,"MID IMPACT",
    ABS(Fuel_prices[[#This Row],[%_change]])&lt;=5,"LITTLE IMPACT"
)</f>
        <v>LITTLE IMPACT</v>
      </c>
    </row>
    <row r="440" spans="1:9" x14ac:dyDescent="0.25">
      <c r="A440" s="4">
        <v>38899</v>
      </c>
      <c r="B440" s="6" t="str">
        <f>_xlfn.CONCAT("Q",CEILING(Fuel_prices[[#This Row],[Month]]/3,1))</f>
        <v>Q3</v>
      </c>
      <c r="C440" s="6">
        <f>MONTH(Fuel_prices[[#This Row],[Date]])</f>
        <v>7</v>
      </c>
      <c r="D440" s="6" t="str">
        <f>TEXT(Fuel_prices[[#This Row],[Date]],"mmm")</f>
        <v>Jul</v>
      </c>
      <c r="E440" s="6">
        <f>YEAR(Fuel_prices[[#This Row],[Date]])</f>
        <v>2006</v>
      </c>
      <c r="F440" s="5">
        <v>72.450133667499998</v>
      </c>
      <c r="G440" s="2">
        <f ca="1">ROUND(IFERROR((Fuel_prices[[#This Row],[Crude_Oil_Price]]-OFFSET(Fuel_prices[[#This Row],[Crude_Oil_Price]],-1,0)),0),2)</f>
        <v>4.16</v>
      </c>
      <c r="H440" s="2">
        <f ca="1">ROUND((IFERROR((Fuel_prices[[#This Row],[Crude_Oil_Price]]-OFFSET(Fuel_prices[[#This Row],[Crude_Oil_Price]],-1,0))/(OFFSET(Fuel_prices[[#This Row],[Crude_Oil_Price]],-1,0)),0))*100,2)</f>
        <v>6.09</v>
      </c>
      <c r="I440" s="2" t="str" cm="1">
        <f t="array" aca="1" ref="I440" ca="1">_xlfn.IFS(
    ABS(Fuel_prices[[#This Row],[%_change]])&gt;50,"SEVERE IMPACT",
    ABS(Fuel_prices[[#This Row],[%_change]])&gt;25,"HIGH IMPACT",
    ABS(Fuel_prices[[#This Row],[%_change]])&gt;5,"MID IMPACT",
    ABS(Fuel_prices[[#This Row],[%_change]])&lt;=5,"LITTLE IMPACT"
)</f>
        <v>MID IMPACT</v>
      </c>
    </row>
    <row r="441" spans="1:9" x14ac:dyDescent="0.25">
      <c r="A441" s="4">
        <v>38930</v>
      </c>
      <c r="B441" s="6" t="str">
        <f>_xlfn.CONCAT("Q",CEILING(Fuel_prices[[#This Row],[Month]]/3,1))</f>
        <v>Q3</v>
      </c>
      <c r="C441" s="6">
        <f>MONTH(Fuel_prices[[#This Row],[Date]])</f>
        <v>8</v>
      </c>
      <c r="D441" s="6" t="str">
        <f>TEXT(Fuel_prices[[#This Row],[Date]],"mmm")</f>
        <v>Aug</v>
      </c>
      <c r="E441" s="6">
        <f>YEAR(Fuel_prices[[#This Row],[Date]])</f>
        <v>2006</v>
      </c>
      <c r="F441" s="5">
        <v>71.811884057970005</v>
      </c>
      <c r="G441" s="2">
        <f ca="1">ROUND(IFERROR((Fuel_prices[[#This Row],[Crude_Oil_Price]]-OFFSET(Fuel_prices[[#This Row],[Crude_Oil_Price]],-1,0)),0),2)</f>
        <v>-0.64</v>
      </c>
      <c r="H441" s="2">
        <f ca="1">ROUND((IFERROR((Fuel_prices[[#This Row],[Crude_Oil_Price]]-OFFSET(Fuel_prices[[#This Row],[Crude_Oil_Price]],-1,0))/(OFFSET(Fuel_prices[[#This Row],[Crude_Oil_Price]],-1,0)),0))*100,2)</f>
        <v>-0.88</v>
      </c>
      <c r="I441" s="2" t="str" cm="1">
        <f t="array" aca="1" ref="I441" ca="1">_xlfn.IFS(
    ABS(Fuel_prices[[#This Row],[%_change]])&gt;50,"SEVERE IMPACT",
    ABS(Fuel_prices[[#This Row],[%_change]])&gt;25,"HIGH IMPACT",
    ABS(Fuel_prices[[#This Row],[%_change]])&gt;5,"MID IMPACT",
    ABS(Fuel_prices[[#This Row],[%_change]])&lt;=5,"LITTLE IMPACT"
)</f>
        <v>LITTLE IMPACT</v>
      </c>
    </row>
    <row r="442" spans="1:9" x14ac:dyDescent="0.25">
      <c r="A442" s="4">
        <v>38961</v>
      </c>
      <c r="B442" s="6" t="str">
        <f>_xlfn.CONCAT("Q",CEILING(Fuel_prices[[#This Row],[Month]]/3,1))</f>
        <v>Q3</v>
      </c>
      <c r="C442" s="6">
        <f>MONTH(Fuel_prices[[#This Row],[Date]])</f>
        <v>9</v>
      </c>
      <c r="D442" s="6" t="str">
        <f>TEXT(Fuel_prices[[#This Row],[Date]],"mmm")</f>
        <v>Sep</v>
      </c>
      <c r="E442" s="6">
        <f>YEAR(Fuel_prices[[#This Row],[Date]])</f>
        <v>2006</v>
      </c>
      <c r="F442" s="5">
        <v>62.121253968250002</v>
      </c>
      <c r="G442" s="2">
        <f ca="1">ROUND(IFERROR((Fuel_prices[[#This Row],[Crude_Oil_Price]]-OFFSET(Fuel_prices[[#This Row],[Crude_Oil_Price]],-1,0)),0),2)</f>
        <v>-9.69</v>
      </c>
      <c r="H442" s="2">
        <f ca="1">ROUND((IFERROR((Fuel_prices[[#This Row],[Crude_Oil_Price]]-OFFSET(Fuel_prices[[#This Row],[Crude_Oil_Price]],-1,0))/(OFFSET(Fuel_prices[[#This Row],[Crude_Oil_Price]],-1,0)),0))*100,2)</f>
        <v>-13.49</v>
      </c>
      <c r="I442" s="2" t="str" cm="1">
        <f t="array" aca="1" ref="I442" ca="1">_xlfn.IFS(
    ABS(Fuel_prices[[#This Row],[%_change]])&gt;50,"SEVERE IMPACT",
    ABS(Fuel_prices[[#This Row],[%_change]])&gt;25,"HIGH IMPACT",
    ABS(Fuel_prices[[#This Row],[%_change]])&gt;5,"MID IMPACT",
    ABS(Fuel_prices[[#This Row],[%_change]])&lt;=5,"LITTLE IMPACT"
)</f>
        <v>MID IMPACT</v>
      </c>
    </row>
    <row r="443" spans="1:9" x14ac:dyDescent="0.25">
      <c r="A443" s="4">
        <v>38991</v>
      </c>
      <c r="B443" s="6" t="str">
        <f>_xlfn.CONCAT("Q",CEILING(Fuel_prices[[#This Row],[Month]]/3,1))</f>
        <v>Q4</v>
      </c>
      <c r="C443" s="6">
        <f>MONTH(Fuel_prices[[#This Row],[Date]])</f>
        <v>10</v>
      </c>
      <c r="D443" s="6" t="str">
        <f>TEXT(Fuel_prices[[#This Row],[Date]],"mmm")</f>
        <v>Oct</v>
      </c>
      <c r="E443" s="6">
        <f>YEAR(Fuel_prices[[#This Row],[Date]])</f>
        <v>2006</v>
      </c>
      <c r="F443" s="5">
        <v>57.910468975470003</v>
      </c>
      <c r="G443" s="2">
        <f ca="1">ROUND(IFERROR((Fuel_prices[[#This Row],[Crude_Oil_Price]]-OFFSET(Fuel_prices[[#This Row],[Crude_Oil_Price]],-1,0)),0),2)</f>
        <v>-4.21</v>
      </c>
      <c r="H443" s="2">
        <f ca="1">ROUND((IFERROR((Fuel_prices[[#This Row],[Crude_Oil_Price]]-OFFSET(Fuel_prices[[#This Row],[Crude_Oil_Price]],-1,0))/(OFFSET(Fuel_prices[[#This Row],[Crude_Oil_Price]],-1,0)),0))*100,2)</f>
        <v>-6.78</v>
      </c>
      <c r="I443" s="2" t="str" cm="1">
        <f t="array" aca="1" ref="I443" ca="1">_xlfn.IFS(
    ABS(Fuel_prices[[#This Row],[%_change]])&gt;50,"SEVERE IMPACT",
    ABS(Fuel_prices[[#This Row],[%_change]])&gt;25,"HIGH IMPACT",
    ABS(Fuel_prices[[#This Row],[%_change]])&gt;5,"MID IMPACT",
    ABS(Fuel_prices[[#This Row],[%_change]])&lt;=5,"LITTLE IMPACT"
)</f>
        <v>MID IMPACT</v>
      </c>
    </row>
    <row r="444" spans="1:9" x14ac:dyDescent="0.25">
      <c r="A444" s="4">
        <v>39022</v>
      </c>
      <c r="B444" s="6" t="str">
        <f>_xlfn.CONCAT("Q",CEILING(Fuel_prices[[#This Row],[Month]]/3,1))</f>
        <v>Q4</v>
      </c>
      <c r="C444" s="6">
        <f>MONTH(Fuel_prices[[#This Row],[Date]])</f>
        <v>11</v>
      </c>
      <c r="D444" s="6" t="str">
        <f>TEXT(Fuel_prices[[#This Row],[Date]],"mmm")</f>
        <v>Nov</v>
      </c>
      <c r="E444" s="6">
        <f>YEAR(Fuel_prices[[#This Row],[Date]])</f>
        <v>2006</v>
      </c>
      <c r="F444" s="5">
        <v>58.143045454549998</v>
      </c>
      <c r="G444" s="2">
        <f ca="1">ROUND(IFERROR((Fuel_prices[[#This Row],[Crude_Oil_Price]]-OFFSET(Fuel_prices[[#This Row],[Crude_Oil_Price]],-1,0)),0),2)</f>
        <v>0.23</v>
      </c>
      <c r="H444" s="2">
        <f ca="1">ROUND((IFERROR((Fuel_prices[[#This Row],[Crude_Oil_Price]]-OFFSET(Fuel_prices[[#This Row],[Crude_Oil_Price]],-1,0))/(OFFSET(Fuel_prices[[#This Row],[Crude_Oil_Price]],-1,0)),0))*100,2)</f>
        <v>0.4</v>
      </c>
      <c r="I444" s="2" t="str" cm="1">
        <f t="array" aca="1" ref="I444" ca="1">_xlfn.IFS(
    ABS(Fuel_prices[[#This Row],[%_change]])&gt;50,"SEVERE IMPACT",
    ABS(Fuel_prices[[#This Row],[%_change]])&gt;25,"HIGH IMPACT",
    ABS(Fuel_prices[[#This Row],[%_change]])&gt;5,"MID IMPACT",
    ABS(Fuel_prices[[#This Row],[%_change]])&lt;=5,"LITTLE IMPACT"
)</f>
        <v>LITTLE IMPACT</v>
      </c>
    </row>
    <row r="445" spans="1:9" x14ac:dyDescent="0.25">
      <c r="A445" s="4">
        <v>39052</v>
      </c>
      <c r="B445" s="6" t="str">
        <f>_xlfn.CONCAT("Q",CEILING(Fuel_prices[[#This Row],[Month]]/3,1))</f>
        <v>Q4</v>
      </c>
      <c r="C445" s="6">
        <f>MONTH(Fuel_prices[[#This Row],[Date]])</f>
        <v>12</v>
      </c>
      <c r="D445" s="6" t="str">
        <f>TEXT(Fuel_prices[[#This Row],[Date]],"mmm")</f>
        <v>Dec</v>
      </c>
      <c r="E445" s="6">
        <f>YEAR(Fuel_prices[[#This Row],[Date]])</f>
        <v>2006</v>
      </c>
      <c r="F445" s="5">
        <v>60.994412280699997</v>
      </c>
      <c r="G445" s="2">
        <f ca="1">ROUND(IFERROR((Fuel_prices[[#This Row],[Crude_Oil_Price]]-OFFSET(Fuel_prices[[#This Row],[Crude_Oil_Price]],-1,0)),0),2)</f>
        <v>2.85</v>
      </c>
      <c r="H445" s="2">
        <f ca="1">ROUND((IFERROR((Fuel_prices[[#This Row],[Crude_Oil_Price]]-OFFSET(Fuel_prices[[#This Row],[Crude_Oil_Price]],-1,0))/(OFFSET(Fuel_prices[[#This Row],[Crude_Oil_Price]],-1,0)),0))*100,2)</f>
        <v>4.9000000000000004</v>
      </c>
      <c r="I445" s="2" t="str" cm="1">
        <f t="array" aca="1" ref="I445" ca="1">_xlfn.IFS(
    ABS(Fuel_prices[[#This Row],[%_change]])&gt;50,"SEVERE IMPACT",
    ABS(Fuel_prices[[#This Row],[%_change]])&gt;25,"HIGH IMPACT",
    ABS(Fuel_prices[[#This Row],[%_change]])&gt;5,"MID IMPACT",
    ABS(Fuel_prices[[#This Row],[%_change]])&lt;=5,"LITTLE IMPACT"
)</f>
        <v>LITTLE IMPACT</v>
      </c>
    </row>
    <row r="446" spans="1:9" x14ac:dyDescent="0.25">
      <c r="A446" s="4">
        <v>39083</v>
      </c>
      <c r="B446" s="6" t="str">
        <f>_xlfn.CONCAT("Q",CEILING(Fuel_prices[[#This Row],[Month]]/3,1))</f>
        <v>Q1</v>
      </c>
      <c r="C446" s="6">
        <f>MONTH(Fuel_prices[[#This Row],[Date]])</f>
        <v>1</v>
      </c>
      <c r="D446" s="6" t="str">
        <f>TEXT(Fuel_prices[[#This Row],[Date]],"mmm")</f>
        <v>Jan</v>
      </c>
      <c r="E446" s="6">
        <f>YEAR(Fuel_prices[[#This Row],[Date]])</f>
        <v>2007</v>
      </c>
      <c r="F446" s="5">
        <v>53.516969696970001</v>
      </c>
      <c r="G446" s="2">
        <f ca="1">ROUND(IFERROR((Fuel_prices[[#This Row],[Crude_Oil_Price]]-OFFSET(Fuel_prices[[#This Row],[Crude_Oil_Price]],-1,0)),0),2)</f>
        <v>-7.48</v>
      </c>
      <c r="H446" s="2">
        <f ca="1">ROUND((IFERROR((Fuel_prices[[#This Row],[Crude_Oil_Price]]-OFFSET(Fuel_prices[[#This Row],[Crude_Oil_Price]],-1,0))/(OFFSET(Fuel_prices[[#This Row],[Crude_Oil_Price]],-1,0)),0))*100,2)</f>
        <v>-12.26</v>
      </c>
      <c r="I446" s="2" t="str" cm="1">
        <f t="array" aca="1" ref="I446" ca="1">_xlfn.IFS(
    ABS(Fuel_prices[[#This Row],[%_change]])&gt;50,"SEVERE IMPACT",
    ABS(Fuel_prices[[#This Row],[%_change]])&gt;25,"HIGH IMPACT",
    ABS(Fuel_prices[[#This Row],[%_change]])&gt;5,"MID IMPACT",
    ABS(Fuel_prices[[#This Row],[%_change]])&lt;=5,"LITTLE IMPACT"
)</f>
        <v>MID IMPACT</v>
      </c>
    </row>
    <row r="447" spans="1:9" x14ac:dyDescent="0.25">
      <c r="A447" s="4">
        <v>39114</v>
      </c>
      <c r="B447" s="6" t="str">
        <f>_xlfn.CONCAT("Q",CEILING(Fuel_prices[[#This Row],[Month]]/3,1))</f>
        <v>Q1</v>
      </c>
      <c r="C447" s="6">
        <f>MONTH(Fuel_prices[[#This Row],[Date]])</f>
        <v>2</v>
      </c>
      <c r="D447" s="6" t="str">
        <f>TEXT(Fuel_prices[[#This Row],[Date]],"mmm")</f>
        <v>Feb</v>
      </c>
      <c r="E447" s="6">
        <f>YEAR(Fuel_prices[[#This Row],[Date]])</f>
        <v>2007</v>
      </c>
      <c r="F447" s="5">
        <v>57.5625</v>
      </c>
      <c r="G447" s="2">
        <f ca="1">ROUND(IFERROR((Fuel_prices[[#This Row],[Crude_Oil_Price]]-OFFSET(Fuel_prices[[#This Row],[Crude_Oil_Price]],-1,0)),0),2)</f>
        <v>4.05</v>
      </c>
      <c r="H447" s="2">
        <f ca="1">ROUND((IFERROR((Fuel_prices[[#This Row],[Crude_Oil_Price]]-OFFSET(Fuel_prices[[#This Row],[Crude_Oil_Price]],-1,0))/(OFFSET(Fuel_prices[[#This Row],[Crude_Oil_Price]],-1,0)),0))*100,2)</f>
        <v>7.56</v>
      </c>
      <c r="I447" s="2" t="str" cm="1">
        <f t="array" aca="1" ref="I447" ca="1">_xlfn.IFS(
    ABS(Fuel_prices[[#This Row],[%_change]])&gt;50,"SEVERE IMPACT",
    ABS(Fuel_prices[[#This Row],[%_change]])&gt;25,"HIGH IMPACT",
    ABS(Fuel_prices[[#This Row],[%_change]])&gt;5,"MID IMPACT",
    ABS(Fuel_prices[[#This Row],[%_change]])&lt;=5,"LITTLE IMPACT"
)</f>
        <v>MID IMPACT</v>
      </c>
    </row>
    <row r="448" spans="1:9" x14ac:dyDescent="0.25">
      <c r="A448" s="4">
        <v>39142</v>
      </c>
      <c r="B448" s="6" t="str">
        <f>_xlfn.CONCAT("Q",CEILING(Fuel_prices[[#This Row],[Month]]/3,1))</f>
        <v>Q1</v>
      </c>
      <c r="C448" s="6">
        <f>MONTH(Fuel_prices[[#This Row],[Date]])</f>
        <v>3</v>
      </c>
      <c r="D448" s="6" t="str">
        <f>TEXT(Fuel_prices[[#This Row],[Date]],"mmm")</f>
        <v>Mar</v>
      </c>
      <c r="E448" s="6">
        <f>YEAR(Fuel_prices[[#This Row],[Date]])</f>
        <v>2007</v>
      </c>
      <c r="F448" s="5">
        <v>60.59984848485</v>
      </c>
      <c r="G448" s="2">
        <f ca="1">ROUND(IFERROR((Fuel_prices[[#This Row],[Crude_Oil_Price]]-OFFSET(Fuel_prices[[#This Row],[Crude_Oil_Price]],-1,0)),0),2)</f>
        <v>3.04</v>
      </c>
      <c r="H448" s="2">
        <f ca="1">ROUND((IFERROR((Fuel_prices[[#This Row],[Crude_Oil_Price]]-OFFSET(Fuel_prices[[#This Row],[Crude_Oil_Price]],-1,0))/(OFFSET(Fuel_prices[[#This Row],[Crude_Oil_Price]],-1,0)),0))*100,2)</f>
        <v>5.28</v>
      </c>
      <c r="I448" s="2" t="str" cm="1">
        <f t="array" aca="1" ref="I448" ca="1">_xlfn.IFS(
    ABS(Fuel_prices[[#This Row],[%_change]])&gt;50,"SEVERE IMPACT",
    ABS(Fuel_prices[[#This Row],[%_change]])&gt;25,"HIGH IMPACT",
    ABS(Fuel_prices[[#This Row],[%_change]])&gt;5,"MID IMPACT",
    ABS(Fuel_prices[[#This Row],[%_change]])&lt;=5,"LITTLE IMPACT"
)</f>
        <v>MID IMPACT</v>
      </c>
    </row>
    <row r="449" spans="1:9" x14ac:dyDescent="0.25">
      <c r="A449" s="4">
        <v>39173</v>
      </c>
      <c r="B449" s="6" t="str">
        <f>_xlfn.CONCAT("Q",CEILING(Fuel_prices[[#This Row],[Month]]/3,1))</f>
        <v>Q2</v>
      </c>
      <c r="C449" s="6">
        <f>MONTH(Fuel_prices[[#This Row],[Date]])</f>
        <v>4</v>
      </c>
      <c r="D449" s="6" t="str">
        <f>TEXT(Fuel_prices[[#This Row],[Date]],"mmm")</f>
        <v>Apr</v>
      </c>
      <c r="E449" s="6">
        <f>YEAR(Fuel_prices[[#This Row],[Date]])</f>
        <v>2007</v>
      </c>
      <c r="F449" s="5">
        <v>65.057640350880007</v>
      </c>
      <c r="G449" s="2">
        <f ca="1">ROUND(IFERROR((Fuel_prices[[#This Row],[Crude_Oil_Price]]-OFFSET(Fuel_prices[[#This Row],[Crude_Oil_Price]],-1,0)),0),2)</f>
        <v>4.46</v>
      </c>
      <c r="H449" s="2">
        <f ca="1">ROUND((IFERROR((Fuel_prices[[#This Row],[Crude_Oil_Price]]-OFFSET(Fuel_prices[[#This Row],[Crude_Oil_Price]],-1,0))/(OFFSET(Fuel_prices[[#This Row],[Crude_Oil_Price]],-1,0)),0))*100,2)</f>
        <v>7.36</v>
      </c>
      <c r="I449" s="2" t="str" cm="1">
        <f t="array" aca="1" ref="I449" ca="1">_xlfn.IFS(
    ABS(Fuel_prices[[#This Row],[%_change]])&gt;50,"SEVERE IMPACT",
    ABS(Fuel_prices[[#This Row],[%_change]])&gt;25,"HIGH IMPACT",
    ABS(Fuel_prices[[#This Row],[%_change]])&gt;5,"MID IMPACT",
    ABS(Fuel_prices[[#This Row],[%_change]])&lt;=5,"LITTLE IMPACT"
)</f>
        <v>MID IMPACT</v>
      </c>
    </row>
    <row r="450" spans="1:9" x14ac:dyDescent="0.25">
      <c r="A450" s="4">
        <v>39203</v>
      </c>
      <c r="B450" s="6" t="str">
        <f>_xlfn.CONCAT("Q",CEILING(Fuel_prices[[#This Row],[Month]]/3,1))</f>
        <v>Q2</v>
      </c>
      <c r="C450" s="6">
        <f>MONTH(Fuel_prices[[#This Row],[Date]])</f>
        <v>5</v>
      </c>
      <c r="D450" s="6" t="str">
        <f>TEXT(Fuel_prices[[#This Row],[Date]],"mmm")</f>
        <v>May</v>
      </c>
      <c r="E450" s="6">
        <f>YEAR(Fuel_prices[[#This Row],[Date]])</f>
        <v>2007</v>
      </c>
      <c r="F450" s="5">
        <v>65.157259552040003</v>
      </c>
      <c r="G450" s="2">
        <f ca="1">ROUND(IFERROR((Fuel_prices[[#This Row],[Crude_Oil_Price]]-OFFSET(Fuel_prices[[#This Row],[Crude_Oil_Price]],-1,0)),0),2)</f>
        <v>0.1</v>
      </c>
      <c r="H450" s="2">
        <f ca="1">ROUND((IFERROR((Fuel_prices[[#This Row],[Crude_Oil_Price]]-OFFSET(Fuel_prices[[#This Row],[Crude_Oil_Price]],-1,0))/(OFFSET(Fuel_prices[[#This Row],[Crude_Oil_Price]],-1,0)),0))*100,2)</f>
        <v>0.15</v>
      </c>
      <c r="I450" s="2" t="str" cm="1">
        <f t="array" aca="1" ref="I450" ca="1">_xlfn.IFS(
    ABS(Fuel_prices[[#This Row],[%_change]])&gt;50,"SEVERE IMPACT",
    ABS(Fuel_prices[[#This Row],[%_change]])&gt;25,"HIGH IMPACT",
    ABS(Fuel_prices[[#This Row],[%_change]])&gt;5,"MID IMPACT",
    ABS(Fuel_prices[[#This Row],[%_change]])&lt;=5,"LITTLE IMPACT"
)</f>
        <v>LITTLE IMPACT</v>
      </c>
    </row>
    <row r="451" spans="1:9" x14ac:dyDescent="0.25">
      <c r="A451" s="4">
        <v>39234</v>
      </c>
      <c r="B451" s="6" t="str">
        <f>_xlfn.CONCAT("Q",CEILING(Fuel_prices[[#This Row],[Month]]/3,1))</f>
        <v>Q2</v>
      </c>
      <c r="C451" s="6">
        <f>MONTH(Fuel_prices[[#This Row],[Date]])</f>
        <v>6</v>
      </c>
      <c r="D451" s="6" t="str">
        <f>TEXT(Fuel_prices[[#This Row],[Date]],"mmm")</f>
        <v>Jun</v>
      </c>
      <c r="E451" s="6">
        <f>YEAR(Fuel_prices[[#This Row],[Date]])</f>
        <v>2007</v>
      </c>
      <c r="F451" s="5">
        <v>68.188095238100004</v>
      </c>
      <c r="G451" s="2">
        <f ca="1">ROUND(IFERROR((Fuel_prices[[#This Row],[Crude_Oil_Price]]-OFFSET(Fuel_prices[[#This Row],[Crude_Oil_Price]],-1,0)),0),2)</f>
        <v>3.03</v>
      </c>
      <c r="H451" s="2">
        <f ca="1">ROUND((IFERROR((Fuel_prices[[#This Row],[Crude_Oil_Price]]-OFFSET(Fuel_prices[[#This Row],[Crude_Oil_Price]],-1,0))/(OFFSET(Fuel_prices[[#This Row],[Crude_Oil_Price]],-1,0)),0))*100,2)</f>
        <v>4.6500000000000004</v>
      </c>
      <c r="I451" s="2" t="str" cm="1">
        <f t="array" aca="1" ref="I451" ca="1">_xlfn.IFS(
    ABS(Fuel_prices[[#This Row],[%_change]])&gt;50,"SEVERE IMPACT",
    ABS(Fuel_prices[[#This Row],[%_change]])&gt;25,"HIGH IMPACT",
    ABS(Fuel_prices[[#This Row],[%_change]])&gt;5,"MID IMPACT",
    ABS(Fuel_prices[[#This Row],[%_change]])&lt;=5,"LITTLE IMPACT"
)</f>
        <v>LITTLE IMPACT</v>
      </c>
    </row>
    <row r="452" spans="1:9" x14ac:dyDescent="0.25">
      <c r="A452" s="4">
        <v>39264</v>
      </c>
      <c r="B452" s="6" t="str">
        <f>_xlfn.CONCAT("Q",CEILING(Fuel_prices[[#This Row],[Month]]/3,1))</f>
        <v>Q3</v>
      </c>
      <c r="C452" s="6">
        <f>MONTH(Fuel_prices[[#This Row],[Date]])</f>
        <v>7</v>
      </c>
      <c r="D452" s="6" t="str">
        <f>TEXT(Fuel_prices[[#This Row],[Date]],"mmm")</f>
        <v>Jul</v>
      </c>
      <c r="E452" s="6">
        <f>YEAR(Fuel_prices[[#This Row],[Date]])</f>
        <v>2007</v>
      </c>
      <c r="F452" s="5">
        <v>73.601695526699999</v>
      </c>
      <c r="G452" s="2">
        <f ca="1">ROUND(IFERROR((Fuel_prices[[#This Row],[Crude_Oil_Price]]-OFFSET(Fuel_prices[[#This Row],[Crude_Oil_Price]],-1,0)),0),2)</f>
        <v>5.41</v>
      </c>
      <c r="H452" s="2">
        <f ca="1">ROUND((IFERROR((Fuel_prices[[#This Row],[Crude_Oil_Price]]-OFFSET(Fuel_prices[[#This Row],[Crude_Oil_Price]],-1,0))/(OFFSET(Fuel_prices[[#This Row],[Crude_Oil_Price]],-1,0)),0))*100,2)</f>
        <v>7.94</v>
      </c>
      <c r="I452" s="2" t="str" cm="1">
        <f t="array" aca="1" ref="I452" ca="1">_xlfn.IFS(
    ABS(Fuel_prices[[#This Row],[%_change]])&gt;50,"SEVERE IMPACT",
    ABS(Fuel_prices[[#This Row],[%_change]])&gt;25,"HIGH IMPACT",
    ABS(Fuel_prices[[#This Row],[%_change]])&gt;5,"MID IMPACT",
    ABS(Fuel_prices[[#This Row],[%_change]])&lt;=5,"LITTLE IMPACT"
)</f>
        <v>MID IMPACT</v>
      </c>
    </row>
    <row r="453" spans="1:9" x14ac:dyDescent="0.25">
      <c r="A453" s="4">
        <v>39295</v>
      </c>
      <c r="B453" s="6" t="str">
        <f>_xlfn.CONCAT("Q",CEILING(Fuel_prices[[#This Row],[Month]]/3,1))</f>
        <v>Q3</v>
      </c>
      <c r="C453" s="6">
        <f>MONTH(Fuel_prices[[#This Row],[Date]])</f>
        <v>8</v>
      </c>
      <c r="D453" s="6" t="str">
        <f>TEXT(Fuel_prices[[#This Row],[Date]],"mmm")</f>
        <v>Aug</v>
      </c>
      <c r="E453" s="6">
        <f>YEAR(Fuel_prices[[#This Row],[Date]])</f>
        <v>2007</v>
      </c>
      <c r="F453" s="5">
        <v>70.126811594200007</v>
      </c>
      <c r="G453" s="2">
        <f ca="1">ROUND(IFERROR((Fuel_prices[[#This Row],[Crude_Oil_Price]]-OFFSET(Fuel_prices[[#This Row],[Crude_Oil_Price]],-1,0)),0),2)</f>
        <v>-3.47</v>
      </c>
      <c r="H453" s="2">
        <f ca="1">ROUND((IFERROR((Fuel_prices[[#This Row],[Crude_Oil_Price]]-OFFSET(Fuel_prices[[#This Row],[Crude_Oil_Price]],-1,0))/(OFFSET(Fuel_prices[[#This Row],[Crude_Oil_Price]],-1,0)),0))*100,2)</f>
        <v>-4.72</v>
      </c>
      <c r="I453" s="2" t="str" cm="1">
        <f t="array" aca="1" ref="I453" ca="1">_xlfn.IFS(
    ABS(Fuel_prices[[#This Row],[%_change]])&gt;50,"SEVERE IMPACT",
    ABS(Fuel_prices[[#This Row],[%_change]])&gt;25,"HIGH IMPACT",
    ABS(Fuel_prices[[#This Row],[%_change]])&gt;5,"MID IMPACT",
    ABS(Fuel_prices[[#This Row],[%_change]])&lt;=5,"LITTLE IMPACT"
)</f>
        <v>LITTLE IMPACT</v>
      </c>
    </row>
    <row r="454" spans="1:9" x14ac:dyDescent="0.25">
      <c r="A454" s="4">
        <v>39326</v>
      </c>
      <c r="B454" s="6" t="str">
        <f>_xlfn.CONCAT("Q",CEILING(Fuel_prices[[#This Row],[Month]]/3,1))</f>
        <v>Q3</v>
      </c>
      <c r="C454" s="6">
        <f>MONTH(Fuel_prices[[#This Row],[Date]])</f>
        <v>9</v>
      </c>
      <c r="D454" s="6" t="str">
        <f>TEXT(Fuel_prices[[#This Row],[Date]],"mmm")</f>
        <v>Sep</v>
      </c>
      <c r="E454" s="6">
        <f>YEAR(Fuel_prices[[#This Row],[Date]])</f>
        <v>2007</v>
      </c>
      <c r="F454" s="5">
        <v>76.76243859649</v>
      </c>
      <c r="G454" s="2">
        <f ca="1">ROUND(IFERROR((Fuel_prices[[#This Row],[Crude_Oil_Price]]-OFFSET(Fuel_prices[[#This Row],[Crude_Oil_Price]],-1,0)),0),2)</f>
        <v>6.64</v>
      </c>
      <c r="H454" s="2">
        <f ca="1">ROUND((IFERROR((Fuel_prices[[#This Row],[Crude_Oil_Price]]-OFFSET(Fuel_prices[[#This Row],[Crude_Oil_Price]],-1,0))/(OFFSET(Fuel_prices[[#This Row],[Crude_Oil_Price]],-1,0)),0))*100,2)</f>
        <v>9.4600000000000009</v>
      </c>
      <c r="I454" s="2" t="str" cm="1">
        <f t="array" aca="1" ref="I454" ca="1">_xlfn.IFS(
    ABS(Fuel_prices[[#This Row],[%_change]])&gt;50,"SEVERE IMPACT",
    ABS(Fuel_prices[[#This Row],[%_change]])&gt;25,"HIGH IMPACT",
    ABS(Fuel_prices[[#This Row],[%_change]])&gt;5,"MID IMPACT",
    ABS(Fuel_prices[[#This Row],[%_change]])&lt;=5,"LITTLE IMPACT"
)</f>
        <v>MID IMPACT</v>
      </c>
    </row>
    <row r="455" spans="1:9" x14ac:dyDescent="0.25">
      <c r="A455" s="4">
        <v>39356</v>
      </c>
      <c r="B455" s="6" t="str">
        <f>_xlfn.CONCAT("Q",CEILING(Fuel_prices[[#This Row],[Month]]/3,1))</f>
        <v>Q4</v>
      </c>
      <c r="C455" s="6">
        <f>MONTH(Fuel_prices[[#This Row],[Date]])</f>
        <v>10</v>
      </c>
      <c r="D455" s="6" t="str">
        <f>TEXT(Fuel_prices[[#This Row],[Date]],"mmm")</f>
        <v>Oct</v>
      </c>
      <c r="E455" s="6">
        <f>YEAR(Fuel_prices[[#This Row],[Date]])</f>
        <v>2007</v>
      </c>
      <c r="F455" s="5">
        <v>81.967246376809996</v>
      </c>
      <c r="G455" s="2">
        <f ca="1">ROUND(IFERROR((Fuel_prices[[#This Row],[Crude_Oil_Price]]-OFFSET(Fuel_prices[[#This Row],[Crude_Oil_Price]],-1,0)),0),2)</f>
        <v>5.2</v>
      </c>
      <c r="H455" s="2">
        <f ca="1">ROUND((IFERROR((Fuel_prices[[#This Row],[Crude_Oil_Price]]-OFFSET(Fuel_prices[[#This Row],[Crude_Oil_Price]],-1,0))/(OFFSET(Fuel_prices[[#This Row],[Crude_Oil_Price]],-1,0)),0))*100,2)</f>
        <v>6.78</v>
      </c>
      <c r="I455" s="2" t="str" cm="1">
        <f t="array" aca="1" ref="I455" ca="1">_xlfn.IFS(
    ABS(Fuel_prices[[#This Row],[%_change]])&gt;50,"SEVERE IMPACT",
    ABS(Fuel_prices[[#This Row],[%_change]])&gt;25,"HIGH IMPACT",
    ABS(Fuel_prices[[#This Row],[%_change]])&gt;5,"MID IMPACT",
    ABS(Fuel_prices[[#This Row],[%_change]])&lt;=5,"LITTLE IMPACT"
)</f>
        <v>MID IMPACT</v>
      </c>
    </row>
    <row r="456" spans="1:9" x14ac:dyDescent="0.25">
      <c r="A456" s="4">
        <v>39387</v>
      </c>
      <c r="B456" s="6" t="str">
        <f>_xlfn.CONCAT("Q",CEILING(Fuel_prices[[#This Row],[Month]]/3,1))</f>
        <v>Q4</v>
      </c>
      <c r="C456" s="6">
        <f>MONTH(Fuel_prices[[#This Row],[Date]])</f>
        <v>11</v>
      </c>
      <c r="D456" s="6" t="str">
        <f>TEXT(Fuel_prices[[#This Row],[Date]],"mmm")</f>
        <v>Nov</v>
      </c>
      <c r="E456" s="6">
        <f>YEAR(Fuel_prices[[#This Row],[Date]])</f>
        <v>2007</v>
      </c>
      <c r="F456" s="5">
        <v>91.338261183260002</v>
      </c>
      <c r="G456" s="2">
        <f ca="1">ROUND(IFERROR((Fuel_prices[[#This Row],[Crude_Oil_Price]]-OFFSET(Fuel_prices[[#This Row],[Crude_Oil_Price]],-1,0)),0),2)</f>
        <v>9.3699999999999992</v>
      </c>
      <c r="H456" s="2">
        <f ca="1">ROUND((IFERROR((Fuel_prices[[#This Row],[Crude_Oil_Price]]-OFFSET(Fuel_prices[[#This Row],[Crude_Oil_Price]],-1,0))/(OFFSET(Fuel_prices[[#This Row],[Crude_Oil_Price]],-1,0)),0))*100,2)</f>
        <v>11.43</v>
      </c>
      <c r="I456" s="2" t="str" cm="1">
        <f t="array" aca="1" ref="I456" ca="1">_xlfn.IFS(
    ABS(Fuel_prices[[#This Row],[%_change]])&gt;50,"SEVERE IMPACT",
    ABS(Fuel_prices[[#This Row],[%_change]])&gt;25,"HIGH IMPACT",
    ABS(Fuel_prices[[#This Row],[%_change]])&gt;5,"MID IMPACT",
    ABS(Fuel_prices[[#This Row],[%_change]])&lt;=5,"LITTLE IMPACT"
)</f>
        <v>MID IMPACT</v>
      </c>
    </row>
    <row r="457" spans="1:9" x14ac:dyDescent="0.25">
      <c r="A457" s="4">
        <v>39417</v>
      </c>
      <c r="B457" s="6" t="str">
        <f>_xlfn.CONCAT("Q",CEILING(Fuel_prices[[#This Row],[Month]]/3,1))</f>
        <v>Q4</v>
      </c>
      <c r="C457" s="6">
        <f>MONTH(Fuel_prices[[#This Row],[Date]])</f>
        <v>12</v>
      </c>
      <c r="D457" s="6" t="str">
        <f>TEXT(Fuel_prices[[#This Row],[Date]],"mmm")</f>
        <v>Dec</v>
      </c>
      <c r="E457" s="6">
        <f>YEAR(Fuel_prices[[#This Row],[Date]])</f>
        <v>2007</v>
      </c>
      <c r="F457" s="5">
        <v>89.519941520469999</v>
      </c>
      <c r="G457" s="2">
        <f ca="1">ROUND(IFERROR((Fuel_prices[[#This Row],[Crude_Oil_Price]]-OFFSET(Fuel_prices[[#This Row],[Crude_Oil_Price]],-1,0)),0),2)</f>
        <v>-1.82</v>
      </c>
      <c r="H457" s="2">
        <f ca="1">ROUND((IFERROR((Fuel_prices[[#This Row],[Crude_Oil_Price]]-OFFSET(Fuel_prices[[#This Row],[Crude_Oil_Price]],-1,0))/(OFFSET(Fuel_prices[[#This Row],[Crude_Oil_Price]],-1,0)),0))*100,2)</f>
        <v>-1.99</v>
      </c>
      <c r="I457" s="2" t="str" cm="1">
        <f t="array" aca="1" ref="I457" ca="1">_xlfn.IFS(
    ABS(Fuel_prices[[#This Row],[%_change]])&gt;50,"SEVERE IMPACT",
    ABS(Fuel_prices[[#This Row],[%_change]])&gt;25,"HIGH IMPACT",
    ABS(Fuel_prices[[#This Row],[%_change]])&gt;5,"MID IMPACT",
    ABS(Fuel_prices[[#This Row],[%_change]])&lt;=5,"LITTLE IMPACT"
)</f>
        <v>LITTLE IMPACT</v>
      </c>
    </row>
    <row r="458" spans="1:9" x14ac:dyDescent="0.25">
      <c r="A458" s="4">
        <v>39448</v>
      </c>
      <c r="B458" s="6" t="str">
        <f>_xlfn.CONCAT("Q",CEILING(Fuel_prices[[#This Row],[Month]]/3,1))</f>
        <v>Q1</v>
      </c>
      <c r="C458" s="6">
        <f>MONTH(Fuel_prices[[#This Row],[Date]])</f>
        <v>1</v>
      </c>
      <c r="D458" s="6" t="str">
        <f>TEXT(Fuel_prices[[#This Row],[Date]],"mmm")</f>
        <v>Jan</v>
      </c>
      <c r="E458" s="6">
        <f>YEAR(Fuel_prices[[#This Row],[Date]])</f>
        <v>2008</v>
      </c>
      <c r="F458" s="5">
        <v>90.689935064940002</v>
      </c>
      <c r="G458" s="2">
        <f ca="1">ROUND(IFERROR((Fuel_prices[[#This Row],[Crude_Oil_Price]]-OFFSET(Fuel_prices[[#This Row],[Crude_Oil_Price]],-1,0)),0),2)</f>
        <v>1.17</v>
      </c>
      <c r="H458" s="2">
        <f ca="1">ROUND((IFERROR((Fuel_prices[[#This Row],[Crude_Oil_Price]]-OFFSET(Fuel_prices[[#This Row],[Crude_Oil_Price]],-1,0))/(OFFSET(Fuel_prices[[#This Row],[Crude_Oil_Price]],-1,0)),0))*100,2)</f>
        <v>1.31</v>
      </c>
      <c r="I458" s="2" t="str" cm="1">
        <f t="array" aca="1" ref="I458" ca="1">_xlfn.IFS(
    ABS(Fuel_prices[[#This Row],[%_change]])&gt;50,"SEVERE IMPACT",
    ABS(Fuel_prices[[#This Row],[%_change]])&gt;25,"HIGH IMPACT",
    ABS(Fuel_prices[[#This Row],[%_change]])&gt;5,"MID IMPACT",
    ABS(Fuel_prices[[#This Row],[%_change]])&lt;=5,"LITTLE IMPACT"
)</f>
        <v>LITTLE IMPACT</v>
      </c>
    </row>
    <row r="459" spans="1:9" x14ac:dyDescent="0.25">
      <c r="A459" s="4">
        <v>39479</v>
      </c>
      <c r="B459" s="6" t="str">
        <f>_xlfn.CONCAT("Q",CEILING(Fuel_prices[[#This Row],[Month]]/3,1))</f>
        <v>Q1</v>
      </c>
      <c r="C459" s="6">
        <f>MONTH(Fuel_prices[[#This Row],[Date]])</f>
        <v>2</v>
      </c>
      <c r="D459" s="6" t="str">
        <f>TEXT(Fuel_prices[[#This Row],[Date]],"mmm")</f>
        <v>Feb</v>
      </c>
      <c r="E459" s="6">
        <f>YEAR(Fuel_prices[[#This Row],[Date]])</f>
        <v>2008</v>
      </c>
      <c r="F459" s="5">
        <v>93.387590643270002</v>
      </c>
      <c r="G459" s="2">
        <f ca="1">ROUND(IFERROR((Fuel_prices[[#This Row],[Crude_Oil_Price]]-OFFSET(Fuel_prices[[#This Row],[Crude_Oil_Price]],-1,0)),0),2)</f>
        <v>2.7</v>
      </c>
      <c r="H459" s="2">
        <f ca="1">ROUND((IFERROR((Fuel_prices[[#This Row],[Crude_Oil_Price]]-OFFSET(Fuel_prices[[#This Row],[Crude_Oil_Price]],-1,0))/(OFFSET(Fuel_prices[[#This Row],[Crude_Oil_Price]],-1,0)),0))*100,2)</f>
        <v>2.97</v>
      </c>
      <c r="I459" s="2" t="str" cm="1">
        <f t="array" aca="1" ref="I459" ca="1">_xlfn.IFS(
    ABS(Fuel_prices[[#This Row],[%_change]])&gt;50,"SEVERE IMPACT",
    ABS(Fuel_prices[[#This Row],[%_change]])&gt;25,"HIGH IMPACT",
    ABS(Fuel_prices[[#This Row],[%_change]])&gt;5,"MID IMPACT",
    ABS(Fuel_prices[[#This Row],[%_change]])&lt;=5,"LITTLE IMPACT"
)</f>
        <v>LITTLE IMPACT</v>
      </c>
    </row>
    <row r="460" spans="1:9" x14ac:dyDescent="0.25">
      <c r="A460" s="4">
        <v>39508</v>
      </c>
      <c r="B460" s="6" t="str">
        <f>_xlfn.CONCAT("Q",CEILING(Fuel_prices[[#This Row],[Month]]/3,1))</f>
        <v>Q1</v>
      </c>
      <c r="C460" s="6">
        <f>MONTH(Fuel_prices[[#This Row],[Date]])</f>
        <v>3</v>
      </c>
      <c r="D460" s="6" t="str">
        <f>TEXT(Fuel_prices[[#This Row],[Date]],"mmm")</f>
        <v>Mar</v>
      </c>
      <c r="E460" s="6">
        <f>YEAR(Fuel_prices[[#This Row],[Date]])</f>
        <v>2008</v>
      </c>
      <c r="F460" s="5">
        <v>101.84283333333001</v>
      </c>
      <c r="G460" s="2">
        <f ca="1">ROUND(IFERROR((Fuel_prices[[#This Row],[Crude_Oil_Price]]-OFFSET(Fuel_prices[[#This Row],[Crude_Oil_Price]],-1,0)),0),2)</f>
        <v>8.4600000000000009</v>
      </c>
      <c r="H460" s="2">
        <f ca="1">ROUND((IFERROR((Fuel_prices[[#This Row],[Crude_Oil_Price]]-OFFSET(Fuel_prices[[#This Row],[Crude_Oil_Price]],-1,0))/(OFFSET(Fuel_prices[[#This Row],[Crude_Oil_Price]],-1,0)),0))*100,2)</f>
        <v>9.0500000000000007</v>
      </c>
      <c r="I460" s="2" t="str" cm="1">
        <f t="array" aca="1" ref="I460" ca="1">_xlfn.IFS(
    ABS(Fuel_prices[[#This Row],[%_change]])&gt;50,"SEVERE IMPACT",
    ABS(Fuel_prices[[#This Row],[%_change]])&gt;25,"HIGH IMPACT",
    ABS(Fuel_prices[[#This Row],[%_change]])&gt;5,"MID IMPACT",
    ABS(Fuel_prices[[#This Row],[%_change]])&lt;=5,"LITTLE IMPACT"
)</f>
        <v>MID IMPACT</v>
      </c>
    </row>
    <row r="461" spans="1:9" x14ac:dyDescent="0.25">
      <c r="A461" s="4">
        <v>39539</v>
      </c>
      <c r="B461" s="6" t="str">
        <f>_xlfn.CONCAT("Q",CEILING(Fuel_prices[[#This Row],[Month]]/3,1))</f>
        <v>Q2</v>
      </c>
      <c r="C461" s="6">
        <f>MONTH(Fuel_prices[[#This Row],[Date]])</f>
        <v>4</v>
      </c>
      <c r="D461" s="6" t="str">
        <f>TEXT(Fuel_prices[[#This Row],[Date]],"mmm")</f>
        <v>Apr</v>
      </c>
      <c r="E461" s="6">
        <f>YEAR(Fuel_prices[[#This Row],[Date]])</f>
        <v>2008</v>
      </c>
      <c r="F461" s="5">
        <v>108.75818181818001</v>
      </c>
      <c r="G461" s="2">
        <f ca="1">ROUND(IFERROR((Fuel_prices[[#This Row],[Crude_Oil_Price]]-OFFSET(Fuel_prices[[#This Row],[Crude_Oil_Price]],-1,0)),0),2)</f>
        <v>6.92</v>
      </c>
      <c r="H461" s="2">
        <f ca="1">ROUND((IFERROR((Fuel_prices[[#This Row],[Crude_Oil_Price]]-OFFSET(Fuel_prices[[#This Row],[Crude_Oil_Price]],-1,0))/(OFFSET(Fuel_prices[[#This Row],[Crude_Oil_Price]],-1,0)),0))*100,2)</f>
        <v>6.79</v>
      </c>
      <c r="I461" s="2" t="str" cm="1">
        <f t="array" aca="1" ref="I461" ca="1">_xlfn.IFS(
    ABS(Fuel_prices[[#This Row],[%_change]])&gt;50,"SEVERE IMPACT",
    ABS(Fuel_prices[[#This Row],[%_change]])&gt;25,"HIGH IMPACT",
    ABS(Fuel_prices[[#This Row],[%_change]])&gt;5,"MID IMPACT",
    ABS(Fuel_prices[[#This Row],[%_change]])&lt;=5,"LITTLE IMPACT"
)</f>
        <v>MID IMPACT</v>
      </c>
    </row>
    <row r="462" spans="1:9" x14ac:dyDescent="0.25">
      <c r="A462" s="4">
        <v>39569</v>
      </c>
      <c r="B462" s="6" t="str">
        <f>_xlfn.CONCAT("Q",CEILING(Fuel_prices[[#This Row],[Month]]/3,1))</f>
        <v>Q2</v>
      </c>
      <c r="C462" s="6">
        <f>MONTH(Fuel_prices[[#This Row],[Date]])</f>
        <v>5</v>
      </c>
      <c r="D462" s="6" t="str">
        <f>TEXT(Fuel_prices[[#This Row],[Date]],"mmm")</f>
        <v>May</v>
      </c>
      <c r="E462" s="6">
        <f>YEAR(Fuel_prices[[#This Row],[Date]])</f>
        <v>2008</v>
      </c>
      <c r="F462" s="5">
        <v>122.63260894661001</v>
      </c>
      <c r="G462" s="2">
        <f ca="1">ROUND(IFERROR((Fuel_prices[[#This Row],[Crude_Oil_Price]]-OFFSET(Fuel_prices[[#This Row],[Crude_Oil_Price]],-1,0)),0),2)</f>
        <v>13.87</v>
      </c>
      <c r="H462" s="2">
        <f ca="1">ROUND((IFERROR((Fuel_prices[[#This Row],[Crude_Oil_Price]]-OFFSET(Fuel_prices[[#This Row],[Crude_Oil_Price]],-1,0))/(OFFSET(Fuel_prices[[#This Row],[Crude_Oil_Price]],-1,0)),0))*100,2)</f>
        <v>12.76</v>
      </c>
      <c r="I462" s="2" t="str" cm="1">
        <f t="array" aca="1" ref="I462" ca="1">_xlfn.IFS(
    ABS(Fuel_prices[[#This Row],[%_change]])&gt;50,"SEVERE IMPACT",
    ABS(Fuel_prices[[#This Row],[%_change]])&gt;25,"HIGH IMPACT",
    ABS(Fuel_prices[[#This Row],[%_change]])&gt;5,"MID IMPACT",
    ABS(Fuel_prices[[#This Row],[%_change]])&lt;=5,"LITTLE IMPACT"
)</f>
        <v>MID IMPACT</v>
      </c>
    </row>
    <row r="463" spans="1:9" x14ac:dyDescent="0.25">
      <c r="A463" s="4">
        <v>39600</v>
      </c>
      <c r="B463" s="6" t="str">
        <f>_xlfn.CONCAT("Q",CEILING(Fuel_prices[[#This Row],[Month]]/3,1))</f>
        <v>Q2</v>
      </c>
      <c r="C463" s="6">
        <f>MONTH(Fuel_prices[[#This Row],[Date]])</f>
        <v>6</v>
      </c>
      <c r="D463" s="6" t="str">
        <f>TEXT(Fuel_prices[[#This Row],[Date]],"mmm")</f>
        <v>Jun</v>
      </c>
      <c r="E463" s="6">
        <f>YEAR(Fuel_prices[[#This Row],[Date]])</f>
        <v>2008</v>
      </c>
      <c r="F463" s="5">
        <v>131.52111111111</v>
      </c>
      <c r="G463" s="2">
        <f ca="1">ROUND(IFERROR((Fuel_prices[[#This Row],[Crude_Oil_Price]]-OFFSET(Fuel_prices[[#This Row],[Crude_Oil_Price]],-1,0)),0),2)</f>
        <v>8.89</v>
      </c>
      <c r="H463" s="2">
        <f ca="1">ROUND((IFERROR((Fuel_prices[[#This Row],[Crude_Oil_Price]]-OFFSET(Fuel_prices[[#This Row],[Crude_Oil_Price]],-1,0))/(OFFSET(Fuel_prices[[#This Row],[Crude_Oil_Price]],-1,0)),0))*100,2)</f>
        <v>7.25</v>
      </c>
      <c r="I463" s="2" t="str" cm="1">
        <f t="array" aca="1" ref="I463" ca="1">_xlfn.IFS(
    ABS(Fuel_prices[[#This Row],[%_change]])&gt;50,"SEVERE IMPACT",
    ABS(Fuel_prices[[#This Row],[%_change]])&gt;25,"HIGH IMPACT",
    ABS(Fuel_prices[[#This Row],[%_change]])&gt;5,"MID IMPACT",
    ABS(Fuel_prices[[#This Row],[%_change]])&lt;=5,"LITTLE IMPACT"
)</f>
        <v>MID IMPACT</v>
      </c>
    </row>
    <row r="464" spans="1:9" x14ac:dyDescent="0.25">
      <c r="A464" s="4">
        <v>39630</v>
      </c>
      <c r="B464" s="6" t="str">
        <f>_xlfn.CONCAT("Q",CEILING(Fuel_prices[[#This Row],[Month]]/3,1))</f>
        <v>Q3</v>
      </c>
      <c r="C464" s="6">
        <f>MONTH(Fuel_prices[[#This Row],[Date]])</f>
        <v>7</v>
      </c>
      <c r="D464" s="6" t="str">
        <f>TEXT(Fuel_prices[[#This Row],[Date]],"mmm")</f>
        <v>Jul</v>
      </c>
      <c r="E464" s="6">
        <f>YEAR(Fuel_prices[[#This Row],[Date]])</f>
        <v>2008</v>
      </c>
      <c r="F464" s="5">
        <v>132.82518445323001</v>
      </c>
      <c r="G464" s="2">
        <f ca="1">ROUND(IFERROR((Fuel_prices[[#This Row],[Crude_Oil_Price]]-OFFSET(Fuel_prices[[#This Row],[Crude_Oil_Price]],-1,0)),0),2)</f>
        <v>1.3</v>
      </c>
      <c r="H464" s="2">
        <f ca="1">ROUND((IFERROR((Fuel_prices[[#This Row],[Crude_Oil_Price]]-OFFSET(Fuel_prices[[#This Row],[Crude_Oil_Price]],-1,0))/(OFFSET(Fuel_prices[[#This Row],[Crude_Oil_Price]],-1,0)),0))*100,2)</f>
        <v>0.99</v>
      </c>
      <c r="I464" s="2" t="str" cm="1">
        <f t="array" aca="1" ref="I464" ca="1">_xlfn.IFS(
    ABS(Fuel_prices[[#This Row],[%_change]])&gt;50,"SEVERE IMPACT",
    ABS(Fuel_prices[[#This Row],[%_change]])&gt;25,"HIGH IMPACT",
    ABS(Fuel_prices[[#This Row],[%_change]])&gt;5,"MID IMPACT",
    ABS(Fuel_prices[[#This Row],[%_change]])&lt;=5,"LITTLE IMPACT"
)</f>
        <v>LITTLE IMPACT</v>
      </c>
    </row>
    <row r="465" spans="1:9" x14ac:dyDescent="0.25">
      <c r="A465" s="4">
        <v>39661</v>
      </c>
      <c r="B465" s="6" t="str">
        <f>_xlfn.CONCAT("Q",CEILING(Fuel_prices[[#This Row],[Month]]/3,1))</f>
        <v>Q3</v>
      </c>
      <c r="C465" s="6">
        <f>MONTH(Fuel_prices[[#This Row],[Date]])</f>
        <v>8</v>
      </c>
      <c r="D465" s="6" t="str">
        <f>TEXT(Fuel_prices[[#This Row],[Date]],"mmm")</f>
        <v>Aug</v>
      </c>
      <c r="E465" s="6">
        <f>YEAR(Fuel_prices[[#This Row],[Date]])</f>
        <v>2008</v>
      </c>
      <c r="F465" s="5">
        <v>114.56682539683</v>
      </c>
      <c r="G465" s="2">
        <f ca="1">ROUND(IFERROR((Fuel_prices[[#This Row],[Crude_Oil_Price]]-OFFSET(Fuel_prices[[#This Row],[Crude_Oil_Price]],-1,0)),0),2)</f>
        <v>-18.260000000000002</v>
      </c>
      <c r="H465" s="2">
        <f ca="1">ROUND((IFERROR((Fuel_prices[[#This Row],[Crude_Oil_Price]]-OFFSET(Fuel_prices[[#This Row],[Crude_Oil_Price]],-1,0))/(OFFSET(Fuel_prices[[#This Row],[Crude_Oil_Price]],-1,0)),0))*100,2)</f>
        <v>-13.75</v>
      </c>
      <c r="I465" s="2" t="str" cm="1">
        <f t="array" aca="1" ref="I465" ca="1">_xlfn.IFS(
    ABS(Fuel_prices[[#This Row],[%_change]])&gt;50,"SEVERE IMPACT",
    ABS(Fuel_prices[[#This Row],[%_change]])&gt;25,"HIGH IMPACT",
    ABS(Fuel_prices[[#This Row],[%_change]])&gt;5,"MID IMPACT",
    ABS(Fuel_prices[[#This Row],[%_change]])&lt;=5,"LITTLE IMPACT"
)</f>
        <v>MID IMPACT</v>
      </c>
    </row>
    <row r="466" spans="1:9" x14ac:dyDescent="0.25">
      <c r="A466" s="4">
        <v>39692</v>
      </c>
      <c r="B466" s="6" t="str">
        <f>_xlfn.CONCAT("Q",CEILING(Fuel_prices[[#This Row],[Month]]/3,1))</f>
        <v>Q3</v>
      </c>
      <c r="C466" s="6">
        <f>MONTH(Fuel_prices[[#This Row],[Date]])</f>
        <v>9</v>
      </c>
      <c r="D466" s="6" t="str">
        <f>TEXT(Fuel_prices[[#This Row],[Date]],"mmm")</f>
        <v>Sep</v>
      </c>
      <c r="E466" s="6">
        <f>YEAR(Fuel_prices[[#This Row],[Date]])</f>
        <v>2008</v>
      </c>
      <c r="F466" s="5">
        <v>99.656767676770002</v>
      </c>
      <c r="G466" s="2">
        <f ca="1">ROUND(IFERROR((Fuel_prices[[#This Row],[Crude_Oil_Price]]-OFFSET(Fuel_prices[[#This Row],[Crude_Oil_Price]],-1,0)),0),2)</f>
        <v>-14.91</v>
      </c>
      <c r="H466" s="2">
        <f ca="1">ROUND((IFERROR((Fuel_prices[[#This Row],[Crude_Oil_Price]]-OFFSET(Fuel_prices[[#This Row],[Crude_Oil_Price]],-1,0))/(OFFSET(Fuel_prices[[#This Row],[Crude_Oil_Price]],-1,0)),0))*100,2)</f>
        <v>-13.01</v>
      </c>
      <c r="I466" s="2" t="str" cm="1">
        <f t="array" aca="1" ref="I466" ca="1">_xlfn.IFS(
    ABS(Fuel_prices[[#This Row],[%_change]])&gt;50,"SEVERE IMPACT",
    ABS(Fuel_prices[[#This Row],[%_change]])&gt;25,"HIGH IMPACT",
    ABS(Fuel_prices[[#This Row],[%_change]])&gt;5,"MID IMPACT",
    ABS(Fuel_prices[[#This Row],[%_change]])&lt;=5,"LITTLE IMPACT"
)</f>
        <v>MID IMPACT</v>
      </c>
    </row>
    <row r="467" spans="1:9" x14ac:dyDescent="0.25">
      <c r="A467" s="4">
        <v>39722</v>
      </c>
      <c r="B467" s="6" t="str">
        <f>_xlfn.CONCAT("Q",CEILING(Fuel_prices[[#This Row],[Month]]/3,1))</f>
        <v>Q4</v>
      </c>
      <c r="C467" s="6">
        <f>MONTH(Fuel_prices[[#This Row],[Date]])</f>
        <v>10</v>
      </c>
      <c r="D467" s="6" t="str">
        <f>TEXT(Fuel_prices[[#This Row],[Date]],"mmm")</f>
        <v>Oct</v>
      </c>
      <c r="E467" s="6">
        <f>YEAR(Fuel_prices[[#This Row],[Date]])</f>
        <v>2008</v>
      </c>
      <c r="F467" s="5">
        <v>72.692753623190001</v>
      </c>
      <c r="G467" s="2">
        <f ca="1">ROUND(IFERROR((Fuel_prices[[#This Row],[Crude_Oil_Price]]-OFFSET(Fuel_prices[[#This Row],[Crude_Oil_Price]],-1,0)),0),2)</f>
        <v>-26.96</v>
      </c>
      <c r="H467" s="2">
        <f ca="1">ROUND((IFERROR((Fuel_prices[[#This Row],[Crude_Oil_Price]]-OFFSET(Fuel_prices[[#This Row],[Crude_Oil_Price]],-1,0))/(OFFSET(Fuel_prices[[#This Row],[Crude_Oil_Price]],-1,0)),0))*100,2)</f>
        <v>-27.06</v>
      </c>
      <c r="I467" s="2" t="str" cm="1">
        <f t="array" aca="1" ref="I467" ca="1">_xlfn.IFS(
    ABS(Fuel_prices[[#This Row],[%_change]])&gt;50,"SEVERE IMPACT",
    ABS(Fuel_prices[[#This Row],[%_change]])&gt;25,"HIGH IMPACT",
    ABS(Fuel_prices[[#This Row],[%_change]])&gt;5,"MID IMPACT",
    ABS(Fuel_prices[[#This Row],[%_change]])&lt;=5,"LITTLE IMPACT"
)</f>
        <v>HIGH IMPACT</v>
      </c>
    </row>
    <row r="468" spans="1:9" x14ac:dyDescent="0.25">
      <c r="A468" s="4">
        <v>39753</v>
      </c>
      <c r="B468" s="6" t="str">
        <f>_xlfn.CONCAT("Q",CEILING(Fuel_prices[[#This Row],[Month]]/3,1))</f>
        <v>Q4</v>
      </c>
      <c r="C468" s="6">
        <f>MONTH(Fuel_prices[[#This Row],[Date]])</f>
        <v>11</v>
      </c>
      <c r="D468" s="6" t="str">
        <f>TEXT(Fuel_prices[[#This Row],[Date]],"mmm")</f>
        <v>Nov</v>
      </c>
      <c r="E468" s="6">
        <f>YEAR(Fuel_prices[[#This Row],[Date]])</f>
        <v>2008</v>
      </c>
      <c r="F468" s="5">
        <v>53.972728070179997</v>
      </c>
      <c r="G468" s="2">
        <f ca="1">ROUND(IFERROR((Fuel_prices[[#This Row],[Crude_Oil_Price]]-OFFSET(Fuel_prices[[#This Row],[Crude_Oil_Price]],-1,0)),0),2)</f>
        <v>-18.72</v>
      </c>
      <c r="H468" s="2">
        <f ca="1">ROUND((IFERROR((Fuel_prices[[#This Row],[Crude_Oil_Price]]-OFFSET(Fuel_prices[[#This Row],[Crude_Oil_Price]],-1,0))/(OFFSET(Fuel_prices[[#This Row],[Crude_Oil_Price]],-1,0)),0))*100,2)</f>
        <v>-25.75</v>
      </c>
      <c r="I468" s="2" t="str" cm="1">
        <f t="array" aca="1" ref="I468" ca="1">_xlfn.IFS(
    ABS(Fuel_prices[[#This Row],[%_change]])&gt;50,"SEVERE IMPACT",
    ABS(Fuel_prices[[#This Row],[%_change]])&gt;25,"HIGH IMPACT",
    ABS(Fuel_prices[[#This Row],[%_change]])&gt;5,"MID IMPACT",
    ABS(Fuel_prices[[#This Row],[%_change]])&lt;=5,"LITTLE IMPACT"
)</f>
        <v>HIGH IMPACT</v>
      </c>
    </row>
    <row r="469" spans="1:9" x14ac:dyDescent="0.25">
      <c r="A469" s="4">
        <v>39783</v>
      </c>
      <c r="B469" s="6" t="str">
        <f>_xlfn.CONCAT("Q",CEILING(Fuel_prices[[#This Row],[Month]]/3,1))</f>
        <v>Q4</v>
      </c>
      <c r="C469" s="6">
        <f>MONTH(Fuel_prices[[#This Row],[Date]])</f>
        <v>12</v>
      </c>
      <c r="D469" s="6" t="str">
        <f>TEXT(Fuel_prices[[#This Row],[Date]],"mmm")</f>
        <v>Dec</v>
      </c>
      <c r="E469" s="6">
        <f>YEAR(Fuel_prices[[#This Row],[Date]])</f>
        <v>2008</v>
      </c>
      <c r="F469" s="5">
        <v>41.338924963929998</v>
      </c>
      <c r="G469" s="2">
        <f ca="1">ROUND(IFERROR((Fuel_prices[[#This Row],[Crude_Oil_Price]]-OFFSET(Fuel_prices[[#This Row],[Crude_Oil_Price]],-1,0)),0),2)</f>
        <v>-12.63</v>
      </c>
      <c r="H469" s="2">
        <f ca="1">ROUND((IFERROR((Fuel_prices[[#This Row],[Crude_Oil_Price]]-OFFSET(Fuel_prices[[#This Row],[Crude_Oil_Price]],-1,0))/(OFFSET(Fuel_prices[[#This Row],[Crude_Oil_Price]],-1,0)),0))*100,2)</f>
        <v>-23.41</v>
      </c>
      <c r="I469" s="2" t="str" cm="1">
        <f t="array" aca="1" ref="I469" ca="1">_xlfn.IFS(
    ABS(Fuel_prices[[#This Row],[%_change]])&gt;50,"SEVERE IMPACT",
    ABS(Fuel_prices[[#This Row],[%_change]])&gt;25,"HIGH IMPACT",
    ABS(Fuel_prices[[#This Row],[%_change]])&gt;5,"MID IMPACT",
    ABS(Fuel_prices[[#This Row],[%_change]])&lt;=5,"LITTLE IMPACT"
)</f>
        <v>MID IMPACT</v>
      </c>
    </row>
    <row r="470" spans="1:9" x14ac:dyDescent="0.25">
      <c r="A470" s="4">
        <v>39814</v>
      </c>
      <c r="B470" s="6" t="str">
        <f>_xlfn.CONCAT("Q",CEILING(Fuel_prices[[#This Row],[Month]]/3,1))</f>
        <v>Q1</v>
      </c>
      <c r="C470" s="6">
        <f>MONTH(Fuel_prices[[#This Row],[Date]])</f>
        <v>1</v>
      </c>
      <c r="D470" s="6" t="str">
        <f>TEXT(Fuel_prices[[#This Row],[Date]],"mmm")</f>
        <v>Jan</v>
      </c>
      <c r="E470" s="6">
        <f>YEAR(Fuel_prices[[#This Row],[Date]])</f>
        <v>2009</v>
      </c>
      <c r="F470" s="5">
        <v>43.855214285709998</v>
      </c>
      <c r="G470" s="2">
        <f ca="1">ROUND(IFERROR((Fuel_prices[[#This Row],[Crude_Oil_Price]]-OFFSET(Fuel_prices[[#This Row],[Crude_Oil_Price]],-1,0)),0),2)</f>
        <v>2.52</v>
      </c>
      <c r="H470" s="2">
        <f ca="1">ROUND((IFERROR((Fuel_prices[[#This Row],[Crude_Oil_Price]]-OFFSET(Fuel_prices[[#This Row],[Crude_Oil_Price]],-1,0))/(OFFSET(Fuel_prices[[#This Row],[Crude_Oil_Price]],-1,0)),0))*100,2)</f>
        <v>6.09</v>
      </c>
      <c r="I470" s="2" t="str" cm="1">
        <f t="array" aca="1" ref="I470" ca="1">_xlfn.IFS(
    ABS(Fuel_prices[[#This Row],[%_change]])&gt;50,"SEVERE IMPACT",
    ABS(Fuel_prices[[#This Row],[%_change]])&gt;25,"HIGH IMPACT",
    ABS(Fuel_prices[[#This Row],[%_change]])&gt;5,"MID IMPACT",
    ABS(Fuel_prices[[#This Row],[%_change]])&lt;=5,"LITTLE IMPACT"
)</f>
        <v>MID IMPACT</v>
      </c>
    </row>
    <row r="471" spans="1:9" x14ac:dyDescent="0.25">
      <c r="A471" s="4">
        <v>39845</v>
      </c>
      <c r="B471" s="6" t="str">
        <f>_xlfn.CONCAT("Q",CEILING(Fuel_prices[[#This Row],[Month]]/3,1))</f>
        <v>Q1</v>
      </c>
      <c r="C471" s="6">
        <f>MONTH(Fuel_prices[[#This Row],[Date]])</f>
        <v>2</v>
      </c>
      <c r="D471" s="6" t="str">
        <f>TEXT(Fuel_prices[[#This Row],[Date]],"mmm")</f>
        <v>Feb</v>
      </c>
      <c r="E471" s="6">
        <f>YEAR(Fuel_prices[[#This Row],[Date]])</f>
        <v>2009</v>
      </c>
      <c r="F471" s="5">
        <v>41.843675438600002</v>
      </c>
      <c r="G471" s="2">
        <f ca="1">ROUND(IFERROR((Fuel_prices[[#This Row],[Crude_Oil_Price]]-OFFSET(Fuel_prices[[#This Row],[Crude_Oil_Price]],-1,0)),0),2)</f>
        <v>-2.0099999999999998</v>
      </c>
      <c r="H471" s="2">
        <f ca="1">ROUND((IFERROR((Fuel_prices[[#This Row],[Crude_Oil_Price]]-OFFSET(Fuel_prices[[#This Row],[Crude_Oil_Price]],-1,0))/(OFFSET(Fuel_prices[[#This Row],[Crude_Oil_Price]],-1,0)),0))*100,2)</f>
        <v>-4.59</v>
      </c>
      <c r="I471" s="2" t="str" cm="1">
        <f t="array" aca="1" ref="I471" ca="1">_xlfn.IFS(
    ABS(Fuel_prices[[#This Row],[%_change]])&gt;50,"SEVERE IMPACT",
    ABS(Fuel_prices[[#This Row],[%_change]])&gt;25,"HIGH IMPACT",
    ABS(Fuel_prices[[#This Row],[%_change]])&gt;5,"MID IMPACT",
    ABS(Fuel_prices[[#This Row],[%_change]])&lt;=5,"LITTLE IMPACT"
)</f>
        <v>LITTLE IMPACT</v>
      </c>
    </row>
    <row r="472" spans="1:9" x14ac:dyDescent="0.25">
      <c r="A472" s="4">
        <v>39873</v>
      </c>
      <c r="B472" s="6" t="str">
        <f>_xlfn.CONCAT("Q",CEILING(Fuel_prices[[#This Row],[Month]]/3,1))</f>
        <v>Q1</v>
      </c>
      <c r="C472" s="6">
        <f>MONTH(Fuel_prices[[#This Row],[Date]])</f>
        <v>3</v>
      </c>
      <c r="D472" s="6" t="str">
        <f>TEXT(Fuel_prices[[#This Row],[Date]],"mmm")</f>
        <v>Mar</v>
      </c>
      <c r="E472" s="6">
        <f>YEAR(Fuel_prices[[#This Row],[Date]])</f>
        <v>2009</v>
      </c>
      <c r="F472" s="5">
        <v>46.645303030299999</v>
      </c>
      <c r="G472" s="2">
        <f ca="1">ROUND(IFERROR((Fuel_prices[[#This Row],[Crude_Oil_Price]]-OFFSET(Fuel_prices[[#This Row],[Crude_Oil_Price]],-1,0)),0),2)</f>
        <v>4.8</v>
      </c>
      <c r="H472" s="2">
        <f ca="1">ROUND((IFERROR((Fuel_prices[[#This Row],[Crude_Oil_Price]]-OFFSET(Fuel_prices[[#This Row],[Crude_Oil_Price]],-1,0))/(OFFSET(Fuel_prices[[#This Row],[Crude_Oil_Price]],-1,0)),0))*100,2)</f>
        <v>11.48</v>
      </c>
      <c r="I472" s="2" t="str" cm="1">
        <f t="array" aca="1" ref="I472" ca="1">_xlfn.IFS(
    ABS(Fuel_prices[[#This Row],[%_change]])&gt;50,"SEVERE IMPACT",
    ABS(Fuel_prices[[#This Row],[%_change]])&gt;25,"HIGH IMPACT",
    ABS(Fuel_prices[[#This Row],[%_change]])&gt;5,"MID IMPACT",
    ABS(Fuel_prices[[#This Row],[%_change]])&lt;=5,"LITTLE IMPACT"
)</f>
        <v>MID IMPACT</v>
      </c>
    </row>
    <row r="473" spans="1:9" x14ac:dyDescent="0.25">
      <c r="A473" s="4">
        <v>39904</v>
      </c>
      <c r="B473" s="6" t="str">
        <f>_xlfn.CONCAT("Q",CEILING(Fuel_prices[[#This Row],[Month]]/3,1))</f>
        <v>Q2</v>
      </c>
      <c r="C473" s="6">
        <f>MONTH(Fuel_prices[[#This Row],[Date]])</f>
        <v>4</v>
      </c>
      <c r="D473" s="6" t="str">
        <f>TEXT(Fuel_prices[[#This Row],[Date]],"mmm")</f>
        <v>Apr</v>
      </c>
      <c r="E473" s="6">
        <f>YEAR(Fuel_prices[[#This Row],[Date]])</f>
        <v>2009</v>
      </c>
      <c r="F473" s="5">
        <v>50.278095238100001</v>
      </c>
      <c r="G473" s="2">
        <f ca="1">ROUND(IFERROR((Fuel_prices[[#This Row],[Crude_Oil_Price]]-OFFSET(Fuel_prices[[#This Row],[Crude_Oil_Price]],-1,0)),0),2)</f>
        <v>3.63</v>
      </c>
      <c r="H473" s="2">
        <f ca="1">ROUND((IFERROR((Fuel_prices[[#This Row],[Crude_Oil_Price]]-OFFSET(Fuel_prices[[#This Row],[Crude_Oil_Price]],-1,0))/(OFFSET(Fuel_prices[[#This Row],[Crude_Oil_Price]],-1,0)),0))*100,2)</f>
        <v>7.79</v>
      </c>
      <c r="I473" s="2" t="str" cm="1">
        <f t="array" aca="1" ref="I473" ca="1">_xlfn.IFS(
    ABS(Fuel_prices[[#This Row],[%_change]])&gt;50,"SEVERE IMPACT",
    ABS(Fuel_prices[[#This Row],[%_change]])&gt;25,"HIGH IMPACT",
    ABS(Fuel_prices[[#This Row],[%_change]])&gt;5,"MID IMPACT",
    ABS(Fuel_prices[[#This Row],[%_change]])&lt;=5,"LITTLE IMPACT"
)</f>
        <v>MID IMPACT</v>
      </c>
    </row>
    <row r="474" spans="1:9" x14ac:dyDescent="0.25">
      <c r="A474" s="4">
        <v>39934</v>
      </c>
      <c r="B474" s="6" t="str">
        <f>_xlfn.CONCAT("Q",CEILING(Fuel_prices[[#This Row],[Month]]/3,1))</f>
        <v>Q2</v>
      </c>
      <c r="C474" s="6">
        <f>MONTH(Fuel_prices[[#This Row],[Date]])</f>
        <v>5</v>
      </c>
      <c r="D474" s="6" t="str">
        <f>TEXT(Fuel_prices[[#This Row],[Date]],"mmm")</f>
        <v>May</v>
      </c>
      <c r="E474" s="6">
        <f>YEAR(Fuel_prices[[#This Row],[Date]])</f>
        <v>2009</v>
      </c>
      <c r="F474" s="5">
        <v>58.153888888890002</v>
      </c>
      <c r="G474" s="2">
        <f ca="1">ROUND(IFERROR((Fuel_prices[[#This Row],[Crude_Oil_Price]]-OFFSET(Fuel_prices[[#This Row],[Crude_Oil_Price]],-1,0)),0),2)</f>
        <v>7.88</v>
      </c>
      <c r="H474" s="2">
        <f ca="1">ROUND((IFERROR((Fuel_prices[[#This Row],[Crude_Oil_Price]]-OFFSET(Fuel_prices[[#This Row],[Crude_Oil_Price]],-1,0))/(OFFSET(Fuel_prices[[#This Row],[Crude_Oil_Price]],-1,0)),0))*100,2)</f>
        <v>15.66</v>
      </c>
      <c r="I474" s="2" t="str" cm="1">
        <f t="array" aca="1" ref="I474" ca="1">_xlfn.IFS(
    ABS(Fuel_prices[[#This Row],[%_change]])&gt;50,"SEVERE IMPACT",
    ABS(Fuel_prices[[#This Row],[%_change]])&gt;25,"HIGH IMPACT",
    ABS(Fuel_prices[[#This Row],[%_change]])&gt;5,"MID IMPACT",
    ABS(Fuel_prices[[#This Row],[%_change]])&lt;=5,"LITTLE IMPACT"
)</f>
        <v>MID IMPACT</v>
      </c>
    </row>
    <row r="475" spans="1:9" x14ac:dyDescent="0.25">
      <c r="A475" s="4">
        <v>39965</v>
      </c>
      <c r="B475" s="6" t="str">
        <f>_xlfn.CONCAT("Q",CEILING(Fuel_prices[[#This Row],[Month]]/3,1))</f>
        <v>Q2</v>
      </c>
      <c r="C475" s="6">
        <f>MONTH(Fuel_prices[[#This Row],[Date]])</f>
        <v>6</v>
      </c>
      <c r="D475" s="6" t="str">
        <f>TEXT(Fuel_prices[[#This Row],[Date]],"mmm")</f>
        <v>Jun</v>
      </c>
      <c r="E475" s="6">
        <f>YEAR(Fuel_prices[[#This Row],[Date]])</f>
        <v>2009</v>
      </c>
      <c r="F475" s="5">
        <v>69.149696969700003</v>
      </c>
      <c r="G475" s="2">
        <f ca="1">ROUND(IFERROR((Fuel_prices[[#This Row],[Crude_Oil_Price]]-OFFSET(Fuel_prices[[#This Row],[Crude_Oil_Price]],-1,0)),0),2)</f>
        <v>11</v>
      </c>
      <c r="H475" s="2">
        <f ca="1">ROUND((IFERROR((Fuel_prices[[#This Row],[Crude_Oil_Price]]-OFFSET(Fuel_prices[[#This Row],[Crude_Oil_Price]],-1,0))/(OFFSET(Fuel_prices[[#This Row],[Crude_Oil_Price]],-1,0)),0))*100,2)</f>
        <v>18.91</v>
      </c>
      <c r="I475" s="2" t="str" cm="1">
        <f t="array" aca="1" ref="I475" ca="1">_xlfn.IFS(
    ABS(Fuel_prices[[#This Row],[%_change]])&gt;50,"SEVERE IMPACT",
    ABS(Fuel_prices[[#This Row],[%_change]])&gt;25,"HIGH IMPACT",
    ABS(Fuel_prices[[#This Row],[%_change]])&gt;5,"MID IMPACT",
    ABS(Fuel_prices[[#This Row],[%_change]])&lt;=5,"LITTLE IMPACT"
)</f>
        <v>MID IMPACT</v>
      </c>
    </row>
    <row r="476" spans="1:9" x14ac:dyDescent="0.25">
      <c r="A476" s="4">
        <v>39995</v>
      </c>
      <c r="B476" s="6" t="str">
        <f>_xlfn.CONCAT("Q",CEILING(Fuel_prices[[#This Row],[Month]]/3,1))</f>
        <v>Q3</v>
      </c>
      <c r="C476" s="6">
        <f>MONTH(Fuel_prices[[#This Row],[Date]])</f>
        <v>7</v>
      </c>
      <c r="D476" s="6" t="str">
        <f>TEXT(Fuel_prices[[#This Row],[Date]],"mmm")</f>
        <v>Jul</v>
      </c>
      <c r="E476" s="6">
        <f>YEAR(Fuel_prices[[#This Row],[Date]])</f>
        <v>2009</v>
      </c>
      <c r="F476" s="5">
        <v>64.666673254279999</v>
      </c>
      <c r="G476" s="2">
        <f ca="1">ROUND(IFERROR((Fuel_prices[[#This Row],[Crude_Oil_Price]]-OFFSET(Fuel_prices[[#This Row],[Crude_Oil_Price]],-1,0)),0),2)</f>
        <v>-4.4800000000000004</v>
      </c>
      <c r="H476" s="2">
        <f ca="1">ROUND((IFERROR((Fuel_prices[[#This Row],[Crude_Oil_Price]]-OFFSET(Fuel_prices[[#This Row],[Crude_Oil_Price]],-1,0))/(OFFSET(Fuel_prices[[#This Row],[Crude_Oil_Price]],-1,0)),0))*100,2)</f>
        <v>-6.48</v>
      </c>
      <c r="I476" s="2" t="str" cm="1">
        <f t="array" aca="1" ref="I476" ca="1">_xlfn.IFS(
    ABS(Fuel_prices[[#This Row],[%_change]])&gt;50,"SEVERE IMPACT",
    ABS(Fuel_prices[[#This Row],[%_change]])&gt;25,"HIGH IMPACT",
    ABS(Fuel_prices[[#This Row],[%_change]])&gt;5,"MID IMPACT",
    ABS(Fuel_prices[[#This Row],[%_change]])&lt;=5,"LITTLE IMPACT"
)</f>
        <v>MID IMPACT</v>
      </c>
    </row>
    <row r="477" spans="1:9" x14ac:dyDescent="0.25">
      <c r="A477" s="4">
        <v>40026</v>
      </c>
      <c r="B477" s="6" t="str">
        <f>_xlfn.CONCAT("Q",CEILING(Fuel_prices[[#This Row],[Month]]/3,1))</f>
        <v>Q3</v>
      </c>
      <c r="C477" s="6">
        <f>MONTH(Fuel_prices[[#This Row],[Date]])</f>
        <v>8</v>
      </c>
      <c r="D477" s="6" t="str">
        <f>TEXT(Fuel_prices[[#This Row],[Date]],"mmm")</f>
        <v>Aug</v>
      </c>
      <c r="E477" s="6">
        <f>YEAR(Fuel_prices[[#This Row],[Date]])</f>
        <v>2009</v>
      </c>
      <c r="F477" s="5">
        <v>71.629682539680005</v>
      </c>
      <c r="G477" s="2">
        <f ca="1">ROUND(IFERROR((Fuel_prices[[#This Row],[Crude_Oil_Price]]-OFFSET(Fuel_prices[[#This Row],[Crude_Oil_Price]],-1,0)),0),2)</f>
        <v>6.96</v>
      </c>
      <c r="H477" s="2">
        <f ca="1">ROUND((IFERROR((Fuel_prices[[#This Row],[Crude_Oil_Price]]-OFFSET(Fuel_prices[[#This Row],[Crude_Oil_Price]],-1,0))/(OFFSET(Fuel_prices[[#This Row],[Crude_Oil_Price]],-1,0)),0))*100,2)</f>
        <v>10.77</v>
      </c>
      <c r="I477" s="2" t="str" cm="1">
        <f t="array" aca="1" ref="I477" ca="1">_xlfn.IFS(
    ABS(Fuel_prices[[#This Row],[%_change]])&gt;50,"SEVERE IMPACT",
    ABS(Fuel_prices[[#This Row],[%_change]])&gt;25,"HIGH IMPACT",
    ABS(Fuel_prices[[#This Row],[%_change]])&gt;5,"MID IMPACT",
    ABS(Fuel_prices[[#This Row],[%_change]])&lt;=5,"LITTLE IMPACT"
)</f>
        <v>MID IMPACT</v>
      </c>
    </row>
    <row r="478" spans="1:9" x14ac:dyDescent="0.25">
      <c r="A478" s="4">
        <v>40057</v>
      </c>
      <c r="B478" s="6" t="str">
        <f>_xlfn.CONCAT("Q",CEILING(Fuel_prices[[#This Row],[Month]]/3,1))</f>
        <v>Q3</v>
      </c>
      <c r="C478" s="6">
        <f>MONTH(Fuel_prices[[#This Row],[Date]])</f>
        <v>9</v>
      </c>
      <c r="D478" s="6" t="str">
        <f>TEXT(Fuel_prices[[#This Row],[Date]],"mmm")</f>
        <v>Sep</v>
      </c>
      <c r="E478" s="6">
        <f>YEAR(Fuel_prices[[#This Row],[Date]])</f>
        <v>2009</v>
      </c>
      <c r="F478" s="5">
        <v>68.346111111110005</v>
      </c>
      <c r="G478" s="2">
        <f ca="1">ROUND(IFERROR((Fuel_prices[[#This Row],[Crude_Oil_Price]]-OFFSET(Fuel_prices[[#This Row],[Crude_Oil_Price]],-1,0)),0),2)</f>
        <v>-3.28</v>
      </c>
      <c r="H478" s="2">
        <f ca="1">ROUND((IFERROR((Fuel_prices[[#This Row],[Crude_Oil_Price]]-OFFSET(Fuel_prices[[#This Row],[Crude_Oil_Price]],-1,0))/(OFFSET(Fuel_prices[[#This Row],[Crude_Oil_Price]],-1,0)),0))*100,2)</f>
        <v>-4.58</v>
      </c>
      <c r="I478" s="2" t="str" cm="1">
        <f t="array" aca="1" ref="I478" ca="1">_xlfn.IFS(
    ABS(Fuel_prices[[#This Row],[%_change]])&gt;50,"SEVERE IMPACT",
    ABS(Fuel_prices[[#This Row],[%_change]])&gt;25,"HIGH IMPACT",
    ABS(Fuel_prices[[#This Row],[%_change]])&gt;5,"MID IMPACT",
    ABS(Fuel_prices[[#This Row],[%_change]])&lt;=5,"LITTLE IMPACT"
)</f>
        <v>LITTLE IMPACT</v>
      </c>
    </row>
    <row r="479" spans="1:9" x14ac:dyDescent="0.25">
      <c r="A479" s="4">
        <v>40087</v>
      </c>
      <c r="B479" s="6" t="str">
        <f>_xlfn.CONCAT("Q",CEILING(Fuel_prices[[#This Row],[Month]]/3,1))</f>
        <v>Q4</v>
      </c>
      <c r="C479" s="6">
        <f>MONTH(Fuel_prices[[#This Row],[Date]])</f>
        <v>10</v>
      </c>
      <c r="D479" s="6" t="str">
        <f>TEXT(Fuel_prices[[#This Row],[Date]],"mmm")</f>
        <v>Oct</v>
      </c>
      <c r="E479" s="6">
        <f>YEAR(Fuel_prices[[#This Row],[Date]])</f>
        <v>2009</v>
      </c>
      <c r="F479" s="5">
        <v>74.080606060609995</v>
      </c>
      <c r="G479" s="2">
        <f ca="1">ROUND(IFERROR((Fuel_prices[[#This Row],[Crude_Oil_Price]]-OFFSET(Fuel_prices[[#This Row],[Crude_Oil_Price]],-1,0)),0),2)</f>
        <v>5.73</v>
      </c>
      <c r="H479" s="2">
        <f ca="1">ROUND((IFERROR((Fuel_prices[[#This Row],[Crude_Oil_Price]]-OFFSET(Fuel_prices[[#This Row],[Crude_Oil_Price]],-1,0))/(OFFSET(Fuel_prices[[#This Row],[Crude_Oil_Price]],-1,0)),0))*100,2)</f>
        <v>8.39</v>
      </c>
      <c r="I479" s="2" t="str" cm="1">
        <f t="array" aca="1" ref="I479" ca="1">_xlfn.IFS(
    ABS(Fuel_prices[[#This Row],[%_change]])&gt;50,"SEVERE IMPACT",
    ABS(Fuel_prices[[#This Row],[%_change]])&gt;25,"HIGH IMPACT",
    ABS(Fuel_prices[[#This Row],[%_change]])&gt;5,"MID IMPACT",
    ABS(Fuel_prices[[#This Row],[%_change]])&lt;=5,"LITTLE IMPACT"
)</f>
        <v>MID IMPACT</v>
      </c>
    </row>
    <row r="480" spans="1:9" x14ac:dyDescent="0.25">
      <c r="A480" s="4">
        <v>40118</v>
      </c>
      <c r="B480" s="6" t="str">
        <f>_xlfn.CONCAT("Q",CEILING(Fuel_prices[[#This Row],[Month]]/3,1))</f>
        <v>Q4</v>
      </c>
      <c r="C480" s="6">
        <f>MONTH(Fuel_prices[[#This Row],[Date]])</f>
        <v>11</v>
      </c>
      <c r="D480" s="6" t="str">
        <f>TEXT(Fuel_prices[[#This Row],[Date]],"mmm")</f>
        <v>Nov</v>
      </c>
      <c r="E480" s="6">
        <f>YEAR(Fuel_prices[[#This Row],[Date]])</f>
        <v>2009</v>
      </c>
      <c r="F480" s="5">
        <v>77.552301587299993</v>
      </c>
      <c r="G480" s="2">
        <f ca="1">ROUND(IFERROR((Fuel_prices[[#This Row],[Crude_Oil_Price]]-OFFSET(Fuel_prices[[#This Row],[Crude_Oil_Price]],-1,0)),0),2)</f>
        <v>3.47</v>
      </c>
      <c r="H480" s="2">
        <f ca="1">ROUND((IFERROR((Fuel_prices[[#This Row],[Crude_Oil_Price]]-OFFSET(Fuel_prices[[#This Row],[Crude_Oil_Price]],-1,0))/(OFFSET(Fuel_prices[[#This Row],[Crude_Oil_Price]],-1,0)),0))*100,2)</f>
        <v>4.6900000000000004</v>
      </c>
      <c r="I480" s="2" t="str" cm="1">
        <f t="array" aca="1" ref="I480" ca="1">_xlfn.IFS(
    ABS(Fuel_prices[[#This Row],[%_change]])&gt;50,"SEVERE IMPACT",
    ABS(Fuel_prices[[#This Row],[%_change]])&gt;25,"HIGH IMPACT",
    ABS(Fuel_prices[[#This Row],[%_change]])&gt;5,"MID IMPACT",
    ABS(Fuel_prices[[#This Row],[%_change]])&lt;=5,"LITTLE IMPACT"
)</f>
        <v>LITTLE IMPACT</v>
      </c>
    </row>
    <row r="481" spans="1:9" x14ac:dyDescent="0.25">
      <c r="A481" s="4">
        <v>40148</v>
      </c>
      <c r="B481" s="6" t="str">
        <f>_xlfn.CONCAT("Q",CEILING(Fuel_prices[[#This Row],[Month]]/3,1))</f>
        <v>Q4</v>
      </c>
      <c r="C481" s="6">
        <f>MONTH(Fuel_prices[[#This Row],[Date]])</f>
        <v>12</v>
      </c>
      <c r="D481" s="6" t="str">
        <f>TEXT(Fuel_prices[[#This Row],[Date]],"mmm")</f>
        <v>Dec</v>
      </c>
      <c r="E481" s="6">
        <f>YEAR(Fuel_prices[[#This Row],[Date]])</f>
        <v>2009</v>
      </c>
      <c r="F481" s="5">
        <v>74.881818181819995</v>
      </c>
      <c r="G481" s="2">
        <f ca="1">ROUND(IFERROR((Fuel_prices[[#This Row],[Crude_Oil_Price]]-OFFSET(Fuel_prices[[#This Row],[Crude_Oil_Price]],-1,0)),0),2)</f>
        <v>-2.67</v>
      </c>
      <c r="H481" s="2">
        <f ca="1">ROUND((IFERROR((Fuel_prices[[#This Row],[Crude_Oil_Price]]-OFFSET(Fuel_prices[[#This Row],[Crude_Oil_Price]],-1,0))/(OFFSET(Fuel_prices[[#This Row],[Crude_Oil_Price]],-1,0)),0))*100,2)</f>
        <v>-3.44</v>
      </c>
      <c r="I481" s="2" t="str" cm="1">
        <f t="array" aca="1" ref="I481" ca="1">_xlfn.IFS(
    ABS(Fuel_prices[[#This Row],[%_change]])&gt;50,"SEVERE IMPACT",
    ABS(Fuel_prices[[#This Row],[%_change]])&gt;25,"HIGH IMPACT",
    ABS(Fuel_prices[[#This Row],[%_change]])&gt;5,"MID IMPACT",
    ABS(Fuel_prices[[#This Row],[%_change]])&lt;=5,"LITTLE IMPACT"
)</f>
        <v>LITTLE IMPACT</v>
      </c>
    </row>
    <row r="482" spans="1:9" x14ac:dyDescent="0.25">
      <c r="A482" s="4">
        <v>40179</v>
      </c>
      <c r="B482" s="6" t="str">
        <f>_xlfn.CONCAT("Q",CEILING(Fuel_prices[[#This Row],[Month]]/3,1))</f>
        <v>Q1</v>
      </c>
      <c r="C482" s="6">
        <f>MONTH(Fuel_prices[[#This Row],[Date]])</f>
        <v>1</v>
      </c>
      <c r="D482" s="6" t="str">
        <f>TEXT(Fuel_prices[[#This Row],[Date]],"mmm")</f>
        <v>Jan</v>
      </c>
      <c r="E482" s="6">
        <f>YEAR(Fuel_prices[[#This Row],[Date]])</f>
        <v>2010</v>
      </c>
      <c r="F482" s="5">
        <v>77.121087719299993</v>
      </c>
      <c r="G482" s="2">
        <f ca="1">ROUND(IFERROR((Fuel_prices[[#This Row],[Crude_Oil_Price]]-OFFSET(Fuel_prices[[#This Row],[Crude_Oil_Price]],-1,0)),0),2)</f>
        <v>2.2400000000000002</v>
      </c>
      <c r="H482" s="2">
        <f ca="1">ROUND((IFERROR((Fuel_prices[[#This Row],[Crude_Oil_Price]]-OFFSET(Fuel_prices[[#This Row],[Crude_Oil_Price]],-1,0))/(OFFSET(Fuel_prices[[#This Row],[Crude_Oil_Price]],-1,0)),0))*100,2)</f>
        <v>2.99</v>
      </c>
      <c r="I482" s="2" t="str" cm="1">
        <f t="array" aca="1" ref="I482" ca="1">_xlfn.IFS(
    ABS(Fuel_prices[[#This Row],[%_change]])&gt;50,"SEVERE IMPACT",
    ABS(Fuel_prices[[#This Row],[%_change]])&gt;25,"HIGH IMPACT",
    ABS(Fuel_prices[[#This Row],[%_change]])&gt;5,"MID IMPACT",
    ABS(Fuel_prices[[#This Row],[%_change]])&lt;=5,"LITTLE IMPACT"
)</f>
        <v>LITTLE IMPACT</v>
      </c>
    </row>
    <row r="483" spans="1:9" x14ac:dyDescent="0.25">
      <c r="A483" s="4">
        <v>40210</v>
      </c>
      <c r="B483" s="6" t="str">
        <f>_xlfn.CONCAT("Q",CEILING(Fuel_prices[[#This Row],[Month]]/3,1))</f>
        <v>Q1</v>
      </c>
      <c r="C483" s="6">
        <f>MONTH(Fuel_prices[[#This Row],[Date]])</f>
        <v>2</v>
      </c>
      <c r="D483" s="6" t="str">
        <f>TEXT(Fuel_prices[[#This Row],[Date]],"mmm")</f>
        <v>Feb</v>
      </c>
      <c r="E483" s="6">
        <f>YEAR(Fuel_prices[[#This Row],[Date]])</f>
        <v>2010</v>
      </c>
      <c r="F483" s="5">
        <v>74.763015594539993</v>
      </c>
      <c r="G483" s="2">
        <f ca="1">ROUND(IFERROR((Fuel_prices[[#This Row],[Crude_Oil_Price]]-OFFSET(Fuel_prices[[#This Row],[Crude_Oil_Price]],-1,0)),0),2)</f>
        <v>-2.36</v>
      </c>
      <c r="H483" s="2">
        <f ca="1">ROUND((IFERROR((Fuel_prices[[#This Row],[Crude_Oil_Price]]-OFFSET(Fuel_prices[[#This Row],[Crude_Oil_Price]],-1,0))/(OFFSET(Fuel_prices[[#This Row],[Crude_Oil_Price]],-1,0)),0))*100,2)</f>
        <v>-3.06</v>
      </c>
      <c r="I483" s="2" t="str" cm="1">
        <f t="array" aca="1" ref="I483" ca="1">_xlfn.IFS(
    ABS(Fuel_prices[[#This Row],[%_change]])&gt;50,"SEVERE IMPACT",
    ABS(Fuel_prices[[#This Row],[%_change]])&gt;25,"HIGH IMPACT",
    ABS(Fuel_prices[[#This Row],[%_change]])&gt;5,"MID IMPACT",
    ABS(Fuel_prices[[#This Row],[%_change]])&lt;=5,"LITTLE IMPACT"
)</f>
        <v>LITTLE IMPACT</v>
      </c>
    </row>
    <row r="484" spans="1:9" x14ac:dyDescent="0.25">
      <c r="A484" s="4">
        <v>40238</v>
      </c>
      <c r="B484" s="6" t="str">
        <f>_xlfn.CONCAT("Q",CEILING(Fuel_prices[[#This Row],[Month]]/3,1))</f>
        <v>Q1</v>
      </c>
      <c r="C484" s="6">
        <f>MONTH(Fuel_prices[[#This Row],[Date]])</f>
        <v>3</v>
      </c>
      <c r="D484" s="6" t="str">
        <f>TEXT(Fuel_prices[[#This Row],[Date]],"mmm")</f>
        <v>Mar</v>
      </c>
      <c r="E484" s="6">
        <f>YEAR(Fuel_prices[[#This Row],[Date]])</f>
        <v>2010</v>
      </c>
      <c r="F484" s="5">
        <v>79.297681159419994</v>
      </c>
      <c r="G484" s="2">
        <f ca="1">ROUND(IFERROR((Fuel_prices[[#This Row],[Crude_Oil_Price]]-OFFSET(Fuel_prices[[#This Row],[Crude_Oil_Price]],-1,0)),0),2)</f>
        <v>4.53</v>
      </c>
      <c r="H484" s="2">
        <f ca="1">ROUND((IFERROR((Fuel_prices[[#This Row],[Crude_Oil_Price]]-OFFSET(Fuel_prices[[#This Row],[Crude_Oil_Price]],-1,0))/(OFFSET(Fuel_prices[[#This Row],[Crude_Oil_Price]],-1,0)),0))*100,2)</f>
        <v>6.07</v>
      </c>
      <c r="I484" s="2" t="str" cm="1">
        <f t="array" aca="1" ref="I484" ca="1">_xlfn.IFS(
    ABS(Fuel_prices[[#This Row],[%_change]])&gt;50,"SEVERE IMPACT",
    ABS(Fuel_prices[[#This Row],[%_change]])&gt;25,"HIGH IMPACT",
    ABS(Fuel_prices[[#This Row],[%_change]])&gt;5,"MID IMPACT",
    ABS(Fuel_prices[[#This Row],[%_change]])&lt;=5,"LITTLE IMPACT"
)</f>
        <v>MID IMPACT</v>
      </c>
    </row>
    <row r="485" spans="1:9" x14ac:dyDescent="0.25">
      <c r="A485" s="4">
        <v>40269</v>
      </c>
      <c r="B485" s="6" t="str">
        <f>_xlfn.CONCAT("Q",CEILING(Fuel_prices[[#This Row],[Month]]/3,1))</f>
        <v>Q2</v>
      </c>
      <c r="C485" s="6">
        <f>MONTH(Fuel_prices[[#This Row],[Date]])</f>
        <v>4</v>
      </c>
      <c r="D485" s="6" t="str">
        <f>TEXT(Fuel_prices[[#This Row],[Date]],"mmm")</f>
        <v>Apr</v>
      </c>
      <c r="E485" s="6">
        <f>YEAR(Fuel_prices[[#This Row],[Date]])</f>
        <v>2010</v>
      </c>
      <c r="F485" s="5">
        <v>84.182857142860001</v>
      </c>
      <c r="G485" s="2">
        <f ca="1">ROUND(IFERROR((Fuel_prices[[#This Row],[Crude_Oil_Price]]-OFFSET(Fuel_prices[[#This Row],[Crude_Oil_Price]],-1,0)),0),2)</f>
        <v>4.8899999999999997</v>
      </c>
      <c r="H485" s="2">
        <f ca="1">ROUND((IFERROR((Fuel_prices[[#This Row],[Crude_Oil_Price]]-OFFSET(Fuel_prices[[#This Row],[Crude_Oil_Price]],-1,0))/(OFFSET(Fuel_prices[[#This Row],[Crude_Oil_Price]],-1,0)),0))*100,2)</f>
        <v>6.16</v>
      </c>
      <c r="I485" s="2" t="str" cm="1">
        <f t="array" aca="1" ref="I485" ca="1">_xlfn.IFS(
    ABS(Fuel_prices[[#This Row],[%_change]])&gt;50,"SEVERE IMPACT",
    ABS(Fuel_prices[[#This Row],[%_change]])&gt;25,"HIGH IMPACT",
    ABS(Fuel_prices[[#This Row],[%_change]])&gt;5,"MID IMPACT",
    ABS(Fuel_prices[[#This Row],[%_change]])&lt;=5,"LITTLE IMPACT"
)</f>
        <v>MID IMPACT</v>
      </c>
    </row>
    <row r="486" spans="1:9" x14ac:dyDescent="0.25">
      <c r="A486" s="4">
        <v>40299</v>
      </c>
      <c r="B486" s="6" t="str">
        <f>_xlfn.CONCAT("Q",CEILING(Fuel_prices[[#This Row],[Month]]/3,1))</f>
        <v>Q2</v>
      </c>
      <c r="C486" s="6">
        <f>MONTH(Fuel_prices[[#This Row],[Date]])</f>
        <v>5</v>
      </c>
      <c r="D486" s="6" t="str">
        <f>TEXT(Fuel_prices[[#This Row],[Date]],"mmm")</f>
        <v>May</v>
      </c>
      <c r="E486" s="6">
        <f>YEAR(Fuel_prices[[#This Row],[Date]])</f>
        <v>2010</v>
      </c>
      <c r="F486" s="5">
        <v>75.61831746032</v>
      </c>
      <c r="G486" s="2">
        <f ca="1">ROUND(IFERROR((Fuel_prices[[#This Row],[Crude_Oil_Price]]-OFFSET(Fuel_prices[[#This Row],[Crude_Oil_Price]],-1,0)),0),2)</f>
        <v>-8.56</v>
      </c>
      <c r="H486" s="2">
        <f ca="1">ROUND((IFERROR((Fuel_prices[[#This Row],[Crude_Oil_Price]]-OFFSET(Fuel_prices[[#This Row],[Crude_Oil_Price]],-1,0))/(OFFSET(Fuel_prices[[#This Row],[Crude_Oil_Price]],-1,0)),0))*100,2)</f>
        <v>-10.17</v>
      </c>
      <c r="I486" s="2" t="str" cm="1">
        <f t="array" aca="1" ref="I486" ca="1">_xlfn.IFS(
    ABS(Fuel_prices[[#This Row],[%_change]])&gt;50,"SEVERE IMPACT",
    ABS(Fuel_prices[[#This Row],[%_change]])&gt;25,"HIGH IMPACT",
    ABS(Fuel_prices[[#This Row],[%_change]])&gt;5,"MID IMPACT",
    ABS(Fuel_prices[[#This Row],[%_change]])&lt;=5,"LITTLE IMPACT"
)</f>
        <v>MID IMPACT</v>
      </c>
    </row>
    <row r="487" spans="1:9" x14ac:dyDescent="0.25">
      <c r="A487" s="4">
        <v>40330</v>
      </c>
      <c r="B487" s="6" t="str">
        <f>_xlfn.CONCAT("Q",CEILING(Fuel_prices[[#This Row],[Month]]/3,1))</f>
        <v>Q2</v>
      </c>
      <c r="C487" s="6">
        <f>MONTH(Fuel_prices[[#This Row],[Date]])</f>
        <v>6</v>
      </c>
      <c r="D487" s="6" t="str">
        <f>TEXT(Fuel_prices[[#This Row],[Date]],"mmm")</f>
        <v>Jun</v>
      </c>
      <c r="E487" s="6">
        <f>YEAR(Fuel_prices[[#This Row],[Date]])</f>
        <v>2010</v>
      </c>
      <c r="F487" s="5">
        <v>74.724999999999994</v>
      </c>
      <c r="G487" s="2">
        <f ca="1">ROUND(IFERROR((Fuel_prices[[#This Row],[Crude_Oil_Price]]-OFFSET(Fuel_prices[[#This Row],[Crude_Oil_Price]],-1,0)),0),2)</f>
        <v>-0.89</v>
      </c>
      <c r="H487" s="2">
        <f ca="1">ROUND((IFERROR((Fuel_prices[[#This Row],[Crude_Oil_Price]]-OFFSET(Fuel_prices[[#This Row],[Crude_Oil_Price]],-1,0))/(OFFSET(Fuel_prices[[#This Row],[Crude_Oil_Price]],-1,0)),0))*100,2)</f>
        <v>-1.18</v>
      </c>
      <c r="I487" s="2" t="str" cm="1">
        <f t="array" aca="1" ref="I487" ca="1">_xlfn.IFS(
    ABS(Fuel_prices[[#This Row],[%_change]])&gt;50,"SEVERE IMPACT",
    ABS(Fuel_prices[[#This Row],[%_change]])&gt;25,"HIGH IMPACT",
    ABS(Fuel_prices[[#This Row],[%_change]])&gt;5,"MID IMPACT",
    ABS(Fuel_prices[[#This Row],[%_change]])&lt;=5,"LITTLE IMPACT"
)</f>
        <v>LITTLE IMPACT</v>
      </c>
    </row>
    <row r="488" spans="1:9" x14ac:dyDescent="0.25">
      <c r="A488" s="4">
        <v>40360</v>
      </c>
      <c r="B488" s="6" t="str">
        <f>_xlfn.CONCAT("Q",CEILING(Fuel_prices[[#This Row],[Month]]/3,1))</f>
        <v>Q3</v>
      </c>
      <c r="C488" s="6">
        <f>MONTH(Fuel_prices[[#This Row],[Date]])</f>
        <v>7</v>
      </c>
      <c r="D488" s="6" t="str">
        <f>TEXT(Fuel_prices[[#This Row],[Date]],"mmm")</f>
        <v>Jul</v>
      </c>
      <c r="E488" s="6">
        <f>YEAR(Fuel_prices[[#This Row],[Date]])</f>
        <v>2010</v>
      </c>
      <c r="F488" s="5">
        <v>74.579401154400003</v>
      </c>
      <c r="G488" s="2">
        <f ca="1">ROUND(IFERROR((Fuel_prices[[#This Row],[Crude_Oil_Price]]-OFFSET(Fuel_prices[[#This Row],[Crude_Oil_Price]],-1,0)),0),2)</f>
        <v>-0.15</v>
      </c>
      <c r="H488" s="2">
        <f ca="1">ROUND((IFERROR((Fuel_prices[[#This Row],[Crude_Oil_Price]]-OFFSET(Fuel_prices[[#This Row],[Crude_Oil_Price]],-1,0))/(OFFSET(Fuel_prices[[#This Row],[Crude_Oil_Price]],-1,0)),0))*100,2)</f>
        <v>-0.19</v>
      </c>
      <c r="I488" s="2" t="str" cm="1">
        <f t="array" aca="1" ref="I488" ca="1">_xlfn.IFS(
    ABS(Fuel_prices[[#This Row],[%_change]])&gt;50,"SEVERE IMPACT",
    ABS(Fuel_prices[[#This Row],[%_change]])&gt;25,"HIGH IMPACT",
    ABS(Fuel_prices[[#This Row],[%_change]])&gt;5,"MID IMPACT",
    ABS(Fuel_prices[[#This Row],[%_change]])&lt;=5,"LITTLE IMPACT"
)</f>
        <v>LITTLE IMPACT</v>
      </c>
    </row>
    <row r="489" spans="1:9" x14ac:dyDescent="0.25">
      <c r="A489" s="4">
        <v>40391</v>
      </c>
      <c r="B489" s="6" t="str">
        <f>_xlfn.CONCAT("Q",CEILING(Fuel_prices[[#This Row],[Month]]/3,1))</f>
        <v>Q3</v>
      </c>
      <c r="C489" s="6">
        <f>MONTH(Fuel_prices[[#This Row],[Date]])</f>
        <v>8</v>
      </c>
      <c r="D489" s="6" t="str">
        <f>TEXT(Fuel_prices[[#This Row],[Date]],"mmm")</f>
        <v>Aug</v>
      </c>
      <c r="E489" s="6">
        <f>YEAR(Fuel_prices[[#This Row],[Date]])</f>
        <v>2010</v>
      </c>
      <c r="F489" s="5">
        <v>75.826269841270005</v>
      </c>
      <c r="G489" s="2">
        <f ca="1">ROUND(IFERROR((Fuel_prices[[#This Row],[Crude_Oil_Price]]-OFFSET(Fuel_prices[[#This Row],[Crude_Oil_Price]],-1,0)),0),2)</f>
        <v>1.25</v>
      </c>
      <c r="H489" s="2">
        <f ca="1">ROUND((IFERROR((Fuel_prices[[#This Row],[Crude_Oil_Price]]-OFFSET(Fuel_prices[[#This Row],[Crude_Oil_Price]],-1,0))/(OFFSET(Fuel_prices[[#This Row],[Crude_Oil_Price]],-1,0)),0))*100,2)</f>
        <v>1.67</v>
      </c>
      <c r="I489" s="2" t="str" cm="1">
        <f t="array" aca="1" ref="I489" ca="1">_xlfn.IFS(
    ABS(Fuel_prices[[#This Row],[%_change]])&gt;50,"SEVERE IMPACT",
    ABS(Fuel_prices[[#This Row],[%_change]])&gt;25,"HIGH IMPACT",
    ABS(Fuel_prices[[#This Row],[%_change]])&gt;5,"MID IMPACT",
    ABS(Fuel_prices[[#This Row],[%_change]])&lt;=5,"LITTLE IMPACT"
)</f>
        <v>LITTLE IMPACT</v>
      </c>
    </row>
    <row r="490" spans="1:9" x14ac:dyDescent="0.25">
      <c r="A490" s="4">
        <v>40422</v>
      </c>
      <c r="B490" s="6" t="str">
        <f>_xlfn.CONCAT("Q",CEILING(Fuel_prices[[#This Row],[Month]]/3,1))</f>
        <v>Q3</v>
      </c>
      <c r="C490" s="6">
        <f>MONTH(Fuel_prices[[#This Row],[Date]])</f>
        <v>9</v>
      </c>
      <c r="D490" s="6" t="str">
        <f>TEXT(Fuel_prices[[#This Row],[Date]],"mmm")</f>
        <v>Sep</v>
      </c>
      <c r="E490" s="6">
        <f>YEAR(Fuel_prices[[#This Row],[Date]])</f>
        <v>2010</v>
      </c>
      <c r="F490" s="5">
        <v>76.116240981239997</v>
      </c>
      <c r="G490" s="2">
        <f ca="1">ROUND(IFERROR((Fuel_prices[[#This Row],[Crude_Oil_Price]]-OFFSET(Fuel_prices[[#This Row],[Crude_Oil_Price]],-1,0)),0),2)</f>
        <v>0.28999999999999998</v>
      </c>
      <c r="H490" s="2">
        <f ca="1">ROUND((IFERROR((Fuel_prices[[#This Row],[Crude_Oil_Price]]-OFFSET(Fuel_prices[[#This Row],[Crude_Oil_Price]],-1,0))/(OFFSET(Fuel_prices[[#This Row],[Crude_Oil_Price]],-1,0)),0))*100,2)</f>
        <v>0.38</v>
      </c>
      <c r="I490" s="2" t="str" cm="1">
        <f t="array" aca="1" ref="I490" ca="1">_xlfn.IFS(
    ABS(Fuel_prices[[#This Row],[%_change]])&gt;50,"SEVERE IMPACT",
    ABS(Fuel_prices[[#This Row],[%_change]])&gt;25,"HIGH IMPACT",
    ABS(Fuel_prices[[#This Row],[%_change]])&gt;5,"MID IMPACT",
    ABS(Fuel_prices[[#This Row],[%_change]])&lt;=5,"LITTLE IMPACT"
)</f>
        <v>LITTLE IMPACT</v>
      </c>
    </row>
    <row r="491" spans="1:9" x14ac:dyDescent="0.25">
      <c r="A491" s="4">
        <v>40452</v>
      </c>
      <c r="B491" s="6" t="str">
        <f>_xlfn.CONCAT("Q",CEILING(Fuel_prices[[#This Row],[Month]]/3,1))</f>
        <v>Q4</v>
      </c>
      <c r="C491" s="6">
        <f>MONTH(Fuel_prices[[#This Row],[Date]])</f>
        <v>10</v>
      </c>
      <c r="D491" s="6" t="str">
        <f>TEXT(Fuel_prices[[#This Row],[Date]],"mmm")</f>
        <v>Oct</v>
      </c>
      <c r="E491" s="6">
        <f>YEAR(Fuel_prices[[#This Row],[Date]])</f>
        <v>2010</v>
      </c>
      <c r="F491" s="5">
        <v>81.719365079369993</v>
      </c>
      <c r="G491" s="2">
        <f ca="1">ROUND(IFERROR((Fuel_prices[[#This Row],[Crude_Oil_Price]]-OFFSET(Fuel_prices[[#This Row],[Crude_Oil_Price]],-1,0)),0),2)</f>
        <v>5.6</v>
      </c>
      <c r="H491" s="2">
        <f ca="1">ROUND((IFERROR((Fuel_prices[[#This Row],[Crude_Oil_Price]]-OFFSET(Fuel_prices[[#This Row],[Crude_Oil_Price]],-1,0))/(OFFSET(Fuel_prices[[#This Row],[Crude_Oil_Price]],-1,0)),0))*100,2)</f>
        <v>7.36</v>
      </c>
      <c r="I491" s="2" t="str" cm="1">
        <f t="array" aca="1" ref="I491" ca="1">_xlfn.IFS(
    ABS(Fuel_prices[[#This Row],[%_change]])&gt;50,"SEVERE IMPACT",
    ABS(Fuel_prices[[#This Row],[%_change]])&gt;25,"HIGH IMPACT",
    ABS(Fuel_prices[[#This Row],[%_change]])&gt;5,"MID IMPACT",
    ABS(Fuel_prices[[#This Row],[%_change]])&lt;=5,"LITTLE IMPACT"
)</f>
        <v>MID IMPACT</v>
      </c>
    </row>
    <row r="492" spans="1:9" x14ac:dyDescent="0.25">
      <c r="A492" s="4">
        <v>40483</v>
      </c>
      <c r="B492" s="6" t="str">
        <f>_xlfn.CONCAT("Q",CEILING(Fuel_prices[[#This Row],[Month]]/3,1))</f>
        <v>Q4</v>
      </c>
      <c r="C492" s="6">
        <f>MONTH(Fuel_prices[[#This Row],[Date]])</f>
        <v>11</v>
      </c>
      <c r="D492" s="6" t="str">
        <f>TEXT(Fuel_prices[[#This Row],[Date]],"mmm")</f>
        <v>Nov</v>
      </c>
      <c r="E492" s="6">
        <f>YEAR(Fuel_prices[[#This Row],[Date]])</f>
        <v>2010</v>
      </c>
      <c r="F492" s="5">
        <v>84.53406349206</v>
      </c>
      <c r="G492" s="2">
        <f ca="1">ROUND(IFERROR((Fuel_prices[[#This Row],[Crude_Oil_Price]]-OFFSET(Fuel_prices[[#This Row],[Crude_Oil_Price]],-1,0)),0),2)</f>
        <v>2.81</v>
      </c>
      <c r="H492" s="2">
        <f ca="1">ROUND((IFERROR((Fuel_prices[[#This Row],[Crude_Oil_Price]]-OFFSET(Fuel_prices[[#This Row],[Crude_Oil_Price]],-1,0))/(OFFSET(Fuel_prices[[#This Row],[Crude_Oil_Price]],-1,0)),0))*100,2)</f>
        <v>3.44</v>
      </c>
      <c r="I492" s="2" t="str" cm="1">
        <f t="array" aca="1" ref="I492" ca="1">_xlfn.IFS(
    ABS(Fuel_prices[[#This Row],[%_change]])&gt;50,"SEVERE IMPACT",
    ABS(Fuel_prices[[#This Row],[%_change]])&gt;25,"HIGH IMPACT",
    ABS(Fuel_prices[[#This Row],[%_change]])&gt;5,"MID IMPACT",
    ABS(Fuel_prices[[#This Row],[%_change]])&lt;=5,"LITTLE IMPACT"
)</f>
        <v>LITTLE IMPACT</v>
      </c>
    </row>
    <row r="493" spans="1:9" x14ac:dyDescent="0.25">
      <c r="A493" s="4">
        <v>40513</v>
      </c>
      <c r="B493" s="6" t="str">
        <f>_xlfn.CONCAT("Q",CEILING(Fuel_prices[[#This Row],[Month]]/3,1))</f>
        <v>Q4</v>
      </c>
      <c r="C493" s="6">
        <f>MONTH(Fuel_prices[[#This Row],[Date]])</f>
        <v>12</v>
      </c>
      <c r="D493" s="6" t="str">
        <f>TEXT(Fuel_prices[[#This Row],[Date]],"mmm")</f>
        <v>Dec</v>
      </c>
      <c r="E493" s="6">
        <f>YEAR(Fuel_prices[[#This Row],[Date]])</f>
        <v>2010</v>
      </c>
      <c r="F493" s="5">
        <v>90.005961791830003</v>
      </c>
      <c r="G493" s="2">
        <f ca="1">ROUND(IFERROR((Fuel_prices[[#This Row],[Crude_Oil_Price]]-OFFSET(Fuel_prices[[#This Row],[Crude_Oil_Price]],-1,0)),0),2)</f>
        <v>5.47</v>
      </c>
      <c r="H493" s="2">
        <f ca="1">ROUND((IFERROR((Fuel_prices[[#This Row],[Crude_Oil_Price]]-OFFSET(Fuel_prices[[#This Row],[Crude_Oil_Price]],-1,0))/(OFFSET(Fuel_prices[[#This Row],[Crude_Oil_Price]],-1,0)),0))*100,2)</f>
        <v>6.47</v>
      </c>
      <c r="I493" s="2" t="str" cm="1">
        <f t="array" aca="1" ref="I493" ca="1">_xlfn.IFS(
    ABS(Fuel_prices[[#This Row],[%_change]])&gt;50,"SEVERE IMPACT",
    ABS(Fuel_prices[[#This Row],[%_change]])&gt;25,"HIGH IMPACT",
    ABS(Fuel_prices[[#This Row],[%_change]])&gt;5,"MID IMPACT",
    ABS(Fuel_prices[[#This Row],[%_change]])&lt;=5,"LITTLE IMPACT"
)</f>
        <v>MID IMPACT</v>
      </c>
    </row>
    <row r="494" spans="1:9" x14ac:dyDescent="0.25">
      <c r="A494" s="4">
        <v>40544</v>
      </c>
      <c r="B494" s="6" t="str">
        <f>_xlfn.CONCAT("Q",CEILING(Fuel_prices[[#This Row],[Month]]/3,1))</f>
        <v>Q1</v>
      </c>
      <c r="C494" s="6">
        <f>MONTH(Fuel_prices[[#This Row],[Date]])</f>
        <v>1</v>
      </c>
      <c r="D494" s="6" t="str">
        <f>TEXT(Fuel_prices[[#This Row],[Date]],"mmm")</f>
        <v>Jan</v>
      </c>
      <c r="E494" s="6">
        <f>YEAR(Fuel_prices[[#This Row],[Date]])</f>
        <v>2011</v>
      </c>
      <c r="F494" s="5">
        <v>92.690595238100002</v>
      </c>
      <c r="G494" s="2">
        <f ca="1">ROUND(IFERROR((Fuel_prices[[#This Row],[Crude_Oil_Price]]-OFFSET(Fuel_prices[[#This Row],[Crude_Oil_Price]],-1,0)),0),2)</f>
        <v>2.68</v>
      </c>
      <c r="H494" s="2">
        <f ca="1">ROUND((IFERROR((Fuel_prices[[#This Row],[Crude_Oil_Price]]-OFFSET(Fuel_prices[[#This Row],[Crude_Oil_Price]],-1,0))/(OFFSET(Fuel_prices[[#This Row],[Crude_Oil_Price]],-1,0)),0))*100,2)</f>
        <v>2.98</v>
      </c>
      <c r="I494" s="2" t="str" cm="1">
        <f t="array" aca="1" ref="I494" ca="1">_xlfn.IFS(
    ABS(Fuel_prices[[#This Row],[%_change]])&gt;50,"SEVERE IMPACT",
    ABS(Fuel_prices[[#This Row],[%_change]])&gt;25,"HIGH IMPACT",
    ABS(Fuel_prices[[#This Row],[%_change]])&gt;5,"MID IMPACT",
    ABS(Fuel_prices[[#This Row],[%_change]])&lt;=5,"LITTLE IMPACT"
)</f>
        <v>LITTLE IMPACT</v>
      </c>
    </row>
    <row r="495" spans="1:9" x14ac:dyDescent="0.25">
      <c r="A495" s="4">
        <v>40575</v>
      </c>
      <c r="B495" s="6" t="str">
        <f>_xlfn.CONCAT("Q",CEILING(Fuel_prices[[#This Row],[Month]]/3,1))</f>
        <v>Q1</v>
      </c>
      <c r="C495" s="6">
        <f>MONTH(Fuel_prices[[#This Row],[Date]])</f>
        <v>2</v>
      </c>
      <c r="D495" s="6" t="str">
        <f>TEXT(Fuel_prices[[#This Row],[Date]],"mmm")</f>
        <v>Feb</v>
      </c>
      <c r="E495" s="6">
        <f>YEAR(Fuel_prices[[#This Row],[Date]])</f>
        <v>2011</v>
      </c>
      <c r="F495" s="5">
        <v>97.914192007799997</v>
      </c>
      <c r="G495" s="2">
        <f ca="1">ROUND(IFERROR((Fuel_prices[[#This Row],[Crude_Oil_Price]]-OFFSET(Fuel_prices[[#This Row],[Crude_Oil_Price]],-1,0)),0),2)</f>
        <v>5.22</v>
      </c>
      <c r="H495" s="2">
        <f ca="1">ROUND((IFERROR((Fuel_prices[[#This Row],[Crude_Oil_Price]]-OFFSET(Fuel_prices[[#This Row],[Crude_Oil_Price]],-1,0))/(OFFSET(Fuel_prices[[#This Row],[Crude_Oil_Price]],-1,0)),0))*100,2)</f>
        <v>5.64</v>
      </c>
      <c r="I495" s="2" t="str" cm="1">
        <f t="array" aca="1" ref="I495" ca="1">_xlfn.IFS(
    ABS(Fuel_prices[[#This Row],[%_change]])&gt;50,"SEVERE IMPACT",
    ABS(Fuel_prices[[#This Row],[%_change]])&gt;25,"HIGH IMPACT",
    ABS(Fuel_prices[[#This Row],[%_change]])&gt;5,"MID IMPACT",
    ABS(Fuel_prices[[#This Row],[%_change]])&lt;=5,"LITTLE IMPACT"
)</f>
        <v>MID IMPACT</v>
      </c>
    </row>
    <row r="496" spans="1:9" x14ac:dyDescent="0.25">
      <c r="A496" s="4">
        <v>40603</v>
      </c>
      <c r="B496" s="6" t="str">
        <f>_xlfn.CONCAT("Q",CEILING(Fuel_prices[[#This Row],[Month]]/3,1))</f>
        <v>Q1</v>
      </c>
      <c r="C496" s="6">
        <f>MONTH(Fuel_prices[[#This Row],[Date]])</f>
        <v>3</v>
      </c>
      <c r="D496" s="6" t="str">
        <f>TEXT(Fuel_prices[[#This Row],[Date]],"mmm")</f>
        <v>Mar</v>
      </c>
      <c r="E496" s="6">
        <f>YEAR(Fuel_prices[[#This Row],[Date]])</f>
        <v>2011</v>
      </c>
      <c r="F496" s="5">
        <v>108.64521739129999</v>
      </c>
      <c r="G496" s="2">
        <f ca="1">ROUND(IFERROR((Fuel_prices[[#This Row],[Crude_Oil_Price]]-OFFSET(Fuel_prices[[#This Row],[Crude_Oil_Price]],-1,0)),0),2)</f>
        <v>10.73</v>
      </c>
      <c r="H496" s="2">
        <f ca="1">ROUND((IFERROR((Fuel_prices[[#This Row],[Crude_Oil_Price]]-OFFSET(Fuel_prices[[#This Row],[Crude_Oil_Price]],-1,0))/(OFFSET(Fuel_prices[[#This Row],[Crude_Oil_Price]],-1,0)),0))*100,2)</f>
        <v>10.96</v>
      </c>
      <c r="I496" s="2" t="str" cm="1">
        <f t="array" aca="1" ref="I496" ca="1">_xlfn.IFS(
    ABS(Fuel_prices[[#This Row],[%_change]])&gt;50,"SEVERE IMPACT",
    ABS(Fuel_prices[[#This Row],[%_change]])&gt;25,"HIGH IMPACT",
    ABS(Fuel_prices[[#This Row],[%_change]])&gt;5,"MID IMPACT",
    ABS(Fuel_prices[[#This Row],[%_change]])&lt;=5,"LITTLE IMPACT"
)</f>
        <v>MID IMPACT</v>
      </c>
    </row>
    <row r="497" spans="1:9" x14ac:dyDescent="0.25">
      <c r="A497" s="4">
        <v>40634</v>
      </c>
      <c r="B497" s="6" t="str">
        <f>_xlfn.CONCAT("Q",CEILING(Fuel_prices[[#This Row],[Month]]/3,1))</f>
        <v>Q2</v>
      </c>
      <c r="C497" s="6">
        <f>MONTH(Fuel_prices[[#This Row],[Date]])</f>
        <v>4</v>
      </c>
      <c r="D497" s="6" t="str">
        <f>TEXT(Fuel_prices[[#This Row],[Date]],"mmm")</f>
        <v>Apr</v>
      </c>
      <c r="E497" s="6">
        <f>YEAR(Fuel_prices[[#This Row],[Date]])</f>
        <v>2011</v>
      </c>
      <c r="F497" s="5">
        <v>116.24316666667001</v>
      </c>
      <c r="G497" s="2">
        <f ca="1">ROUND(IFERROR((Fuel_prices[[#This Row],[Crude_Oil_Price]]-OFFSET(Fuel_prices[[#This Row],[Crude_Oil_Price]],-1,0)),0),2)</f>
        <v>7.6</v>
      </c>
      <c r="H497" s="2">
        <f ca="1">ROUND((IFERROR((Fuel_prices[[#This Row],[Crude_Oil_Price]]-OFFSET(Fuel_prices[[#This Row],[Crude_Oil_Price]],-1,0))/(OFFSET(Fuel_prices[[#This Row],[Crude_Oil_Price]],-1,0)),0))*100,2)</f>
        <v>6.99</v>
      </c>
      <c r="I497" s="2" t="str" cm="1">
        <f t="array" aca="1" ref="I497" ca="1">_xlfn.IFS(
    ABS(Fuel_prices[[#This Row],[%_change]])&gt;50,"SEVERE IMPACT",
    ABS(Fuel_prices[[#This Row],[%_change]])&gt;25,"HIGH IMPACT",
    ABS(Fuel_prices[[#This Row],[%_change]])&gt;5,"MID IMPACT",
    ABS(Fuel_prices[[#This Row],[%_change]])&lt;=5,"LITTLE IMPACT"
)</f>
        <v>MID IMPACT</v>
      </c>
    </row>
    <row r="498" spans="1:9" x14ac:dyDescent="0.25">
      <c r="A498" s="4">
        <v>40664</v>
      </c>
      <c r="B498" s="6" t="str">
        <f>_xlfn.CONCAT("Q",CEILING(Fuel_prices[[#This Row],[Month]]/3,1))</f>
        <v>Q2</v>
      </c>
      <c r="C498" s="6">
        <f>MONTH(Fuel_prices[[#This Row],[Date]])</f>
        <v>5</v>
      </c>
      <c r="D498" s="6" t="str">
        <f>TEXT(Fuel_prices[[#This Row],[Date]],"mmm")</f>
        <v>May</v>
      </c>
      <c r="E498" s="6">
        <f>YEAR(Fuel_prices[[#This Row],[Date]])</f>
        <v>2011</v>
      </c>
      <c r="F498" s="5">
        <v>108.06851298701</v>
      </c>
      <c r="G498" s="2">
        <f ca="1">ROUND(IFERROR((Fuel_prices[[#This Row],[Crude_Oil_Price]]-OFFSET(Fuel_prices[[#This Row],[Crude_Oil_Price]],-1,0)),0),2)</f>
        <v>-8.17</v>
      </c>
      <c r="H498" s="2">
        <f ca="1">ROUND((IFERROR((Fuel_prices[[#This Row],[Crude_Oil_Price]]-OFFSET(Fuel_prices[[#This Row],[Crude_Oil_Price]],-1,0))/(OFFSET(Fuel_prices[[#This Row],[Crude_Oil_Price]],-1,0)),0))*100,2)</f>
        <v>-7.03</v>
      </c>
      <c r="I498" s="2" t="str" cm="1">
        <f t="array" aca="1" ref="I498" ca="1">_xlfn.IFS(
    ABS(Fuel_prices[[#This Row],[%_change]])&gt;50,"SEVERE IMPACT",
    ABS(Fuel_prices[[#This Row],[%_change]])&gt;25,"HIGH IMPACT",
    ABS(Fuel_prices[[#This Row],[%_change]])&gt;5,"MID IMPACT",
    ABS(Fuel_prices[[#This Row],[%_change]])&lt;=5,"LITTLE IMPACT"
)</f>
        <v>MID IMPACT</v>
      </c>
    </row>
    <row r="499" spans="1:9" x14ac:dyDescent="0.25">
      <c r="A499" s="4">
        <v>40695</v>
      </c>
      <c r="B499" s="6" t="str">
        <f>_xlfn.CONCAT("Q",CEILING(Fuel_prices[[#This Row],[Month]]/3,1))</f>
        <v>Q2</v>
      </c>
      <c r="C499" s="6">
        <f>MONTH(Fuel_prices[[#This Row],[Date]])</f>
        <v>6</v>
      </c>
      <c r="D499" s="6" t="str">
        <f>TEXT(Fuel_prices[[#This Row],[Date]],"mmm")</f>
        <v>Jun</v>
      </c>
      <c r="E499" s="6">
        <f>YEAR(Fuel_prices[[#This Row],[Date]])</f>
        <v>2011</v>
      </c>
      <c r="F499" s="5">
        <v>105.84545454546</v>
      </c>
      <c r="G499" s="2">
        <f ca="1">ROUND(IFERROR((Fuel_prices[[#This Row],[Crude_Oil_Price]]-OFFSET(Fuel_prices[[#This Row],[Crude_Oil_Price]],-1,0)),0),2)</f>
        <v>-2.2200000000000002</v>
      </c>
      <c r="H499" s="2">
        <f ca="1">ROUND((IFERROR((Fuel_prices[[#This Row],[Crude_Oil_Price]]-OFFSET(Fuel_prices[[#This Row],[Crude_Oil_Price]],-1,0))/(OFFSET(Fuel_prices[[#This Row],[Crude_Oil_Price]],-1,0)),0))*100,2)</f>
        <v>-2.06</v>
      </c>
      <c r="I499" s="2" t="str" cm="1">
        <f t="array" aca="1" ref="I499" ca="1">_xlfn.IFS(
    ABS(Fuel_prices[[#This Row],[%_change]])&gt;50,"SEVERE IMPACT",
    ABS(Fuel_prices[[#This Row],[%_change]])&gt;25,"HIGH IMPACT",
    ABS(Fuel_prices[[#This Row],[%_change]])&gt;5,"MID IMPACT",
    ABS(Fuel_prices[[#This Row],[%_change]])&lt;=5,"LITTLE IMPACT"
)</f>
        <v>LITTLE IMPACT</v>
      </c>
    </row>
    <row r="500" spans="1:9" x14ac:dyDescent="0.25">
      <c r="A500" s="4">
        <v>40725</v>
      </c>
      <c r="B500" s="6" t="str">
        <f>_xlfn.CONCAT("Q",CEILING(Fuel_prices[[#This Row],[Month]]/3,1))</f>
        <v>Q3</v>
      </c>
      <c r="C500" s="6">
        <f>MONTH(Fuel_prices[[#This Row],[Date]])</f>
        <v>7</v>
      </c>
      <c r="D500" s="6" t="str">
        <f>TEXT(Fuel_prices[[#This Row],[Date]],"mmm")</f>
        <v>Jul</v>
      </c>
      <c r="E500" s="6">
        <f>YEAR(Fuel_prices[[#This Row],[Date]])</f>
        <v>2011</v>
      </c>
      <c r="F500" s="5">
        <v>107.91661111111</v>
      </c>
      <c r="G500" s="2">
        <f ca="1">ROUND(IFERROR((Fuel_prices[[#This Row],[Crude_Oil_Price]]-OFFSET(Fuel_prices[[#This Row],[Crude_Oil_Price]],-1,0)),0),2)</f>
        <v>2.0699999999999998</v>
      </c>
      <c r="H500" s="2">
        <f ca="1">ROUND((IFERROR((Fuel_prices[[#This Row],[Crude_Oil_Price]]-OFFSET(Fuel_prices[[#This Row],[Crude_Oil_Price]],-1,0))/(OFFSET(Fuel_prices[[#This Row],[Crude_Oil_Price]],-1,0)),0))*100,2)</f>
        <v>1.96</v>
      </c>
      <c r="I500" s="2" t="str" cm="1">
        <f t="array" aca="1" ref="I500" ca="1">_xlfn.IFS(
    ABS(Fuel_prices[[#This Row],[%_change]])&gt;50,"SEVERE IMPACT",
    ABS(Fuel_prices[[#This Row],[%_change]])&gt;25,"HIGH IMPACT",
    ABS(Fuel_prices[[#This Row],[%_change]])&gt;5,"MID IMPACT",
    ABS(Fuel_prices[[#This Row],[%_change]])&lt;=5,"LITTLE IMPACT"
)</f>
        <v>LITTLE IMPACT</v>
      </c>
    </row>
    <row r="501" spans="1:9" x14ac:dyDescent="0.25">
      <c r="A501" s="4">
        <v>40756</v>
      </c>
      <c r="B501" s="6" t="str">
        <f>_xlfn.CONCAT("Q",CEILING(Fuel_prices[[#This Row],[Month]]/3,1))</f>
        <v>Q3</v>
      </c>
      <c r="C501" s="6">
        <f>MONTH(Fuel_prices[[#This Row],[Date]])</f>
        <v>8</v>
      </c>
      <c r="D501" s="6" t="str">
        <f>TEXT(Fuel_prices[[#This Row],[Date]],"mmm")</f>
        <v>Aug</v>
      </c>
      <c r="E501" s="6">
        <f>YEAR(Fuel_prices[[#This Row],[Date]])</f>
        <v>2011</v>
      </c>
      <c r="F501" s="5">
        <v>100.48642512076999</v>
      </c>
      <c r="G501" s="2">
        <f ca="1">ROUND(IFERROR((Fuel_prices[[#This Row],[Crude_Oil_Price]]-OFFSET(Fuel_prices[[#This Row],[Crude_Oil_Price]],-1,0)),0),2)</f>
        <v>-7.43</v>
      </c>
      <c r="H501" s="2">
        <f ca="1">ROUND((IFERROR((Fuel_prices[[#This Row],[Crude_Oil_Price]]-OFFSET(Fuel_prices[[#This Row],[Crude_Oil_Price]],-1,0))/(OFFSET(Fuel_prices[[#This Row],[Crude_Oil_Price]],-1,0)),0))*100,2)</f>
        <v>-6.89</v>
      </c>
      <c r="I501" s="2" t="str" cm="1">
        <f t="array" aca="1" ref="I501" ca="1">_xlfn.IFS(
    ABS(Fuel_prices[[#This Row],[%_change]])&gt;50,"SEVERE IMPACT",
    ABS(Fuel_prices[[#This Row],[%_change]])&gt;25,"HIGH IMPACT",
    ABS(Fuel_prices[[#This Row],[%_change]])&gt;5,"MID IMPACT",
    ABS(Fuel_prices[[#This Row],[%_change]])&lt;=5,"LITTLE IMPACT"
)</f>
        <v>MID IMPACT</v>
      </c>
    </row>
    <row r="502" spans="1:9" x14ac:dyDescent="0.25">
      <c r="A502" s="4">
        <v>40787</v>
      </c>
      <c r="B502" s="6" t="str">
        <f>_xlfn.CONCAT("Q",CEILING(Fuel_prices[[#This Row],[Month]]/3,1))</f>
        <v>Q3</v>
      </c>
      <c r="C502" s="6">
        <f>MONTH(Fuel_prices[[#This Row],[Date]])</f>
        <v>9</v>
      </c>
      <c r="D502" s="6" t="str">
        <f>TEXT(Fuel_prices[[#This Row],[Date]],"mmm")</f>
        <v>Sep</v>
      </c>
      <c r="E502" s="6">
        <f>YEAR(Fuel_prices[[#This Row],[Date]])</f>
        <v>2011</v>
      </c>
      <c r="F502" s="5">
        <v>100.81935064935</v>
      </c>
      <c r="G502" s="2">
        <f ca="1">ROUND(IFERROR((Fuel_prices[[#This Row],[Crude_Oil_Price]]-OFFSET(Fuel_prices[[#This Row],[Crude_Oil_Price]],-1,0)),0),2)</f>
        <v>0.33</v>
      </c>
      <c r="H502" s="2">
        <f ca="1">ROUND((IFERROR((Fuel_prices[[#This Row],[Crude_Oil_Price]]-OFFSET(Fuel_prices[[#This Row],[Crude_Oil_Price]],-1,0))/(OFFSET(Fuel_prices[[#This Row],[Crude_Oil_Price]],-1,0)),0))*100,2)</f>
        <v>0.33</v>
      </c>
      <c r="I502" s="2" t="str" cm="1">
        <f t="array" aca="1" ref="I502" ca="1">_xlfn.IFS(
    ABS(Fuel_prices[[#This Row],[%_change]])&gt;50,"SEVERE IMPACT",
    ABS(Fuel_prices[[#This Row],[%_change]])&gt;25,"HIGH IMPACT",
    ABS(Fuel_prices[[#This Row],[%_change]])&gt;5,"MID IMPACT",
    ABS(Fuel_prices[[#This Row],[%_change]])&lt;=5,"LITTLE IMPACT"
)</f>
        <v>LITTLE IMPACT</v>
      </c>
    </row>
    <row r="503" spans="1:9" x14ac:dyDescent="0.25">
      <c r="A503" s="4">
        <v>40817</v>
      </c>
      <c r="B503" s="6" t="str">
        <f>_xlfn.CONCAT("Q",CEILING(Fuel_prices[[#This Row],[Month]]/3,1))</f>
        <v>Q4</v>
      </c>
      <c r="C503" s="6">
        <f>MONTH(Fuel_prices[[#This Row],[Date]])</f>
        <v>10</v>
      </c>
      <c r="D503" s="6" t="str">
        <f>TEXT(Fuel_prices[[#This Row],[Date]],"mmm")</f>
        <v>Oct</v>
      </c>
      <c r="E503" s="6">
        <f>YEAR(Fuel_prices[[#This Row],[Date]])</f>
        <v>2011</v>
      </c>
      <c r="F503" s="5">
        <v>99.847753968250004</v>
      </c>
      <c r="G503" s="2">
        <f ca="1">ROUND(IFERROR((Fuel_prices[[#This Row],[Crude_Oil_Price]]-OFFSET(Fuel_prices[[#This Row],[Crude_Oil_Price]],-1,0)),0),2)</f>
        <v>-0.97</v>
      </c>
      <c r="H503" s="2">
        <f ca="1">ROUND((IFERROR((Fuel_prices[[#This Row],[Crude_Oil_Price]]-OFFSET(Fuel_prices[[#This Row],[Crude_Oil_Price]],-1,0))/(OFFSET(Fuel_prices[[#This Row],[Crude_Oil_Price]],-1,0)),0))*100,2)</f>
        <v>-0.96</v>
      </c>
      <c r="I503" s="2" t="str" cm="1">
        <f t="array" aca="1" ref="I503" ca="1">_xlfn.IFS(
    ABS(Fuel_prices[[#This Row],[%_change]])&gt;50,"SEVERE IMPACT",
    ABS(Fuel_prices[[#This Row],[%_change]])&gt;25,"HIGH IMPACT",
    ABS(Fuel_prices[[#This Row],[%_change]])&gt;5,"MID IMPACT",
    ABS(Fuel_prices[[#This Row],[%_change]])&lt;=5,"LITTLE IMPACT"
)</f>
        <v>LITTLE IMPACT</v>
      </c>
    </row>
    <row r="504" spans="1:9" x14ac:dyDescent="0.25">
      <c r="A504" s="4">
        <v>40848</v>
      </c>
      <c r="B504" s="6" t="str">
        <f>_xlfn.CONCAT("Q",CEILING(Fuel_prices[[#This Row],[Month]]/3,1))</f>
        <v>Q4</v>
      </c>
      <c r="C504" s="6">
        <f>MONTH(Fuel_prices[[#This Row],[Date]])</f>
        <v>11</v>
      </c>
      <c r="D504" s="6" t="str">
        <f>TEXT(Fuel_prices[[#This Row],[Date]],"mmm")</f>
        <v>Nov</v>
      </c>
      <c r="E504" s="6">
        <f>YEAR(Fuel_prices[[#This Row],[Date]])</f>
        <v>2011</v>
      </c>
      <c r="F504" s="5">
        <v>105.40501443001</v>
      </c>
      <c r="G504" s="2">
        <f ca="1">ROUND(IFERROR((Fuel_prices[[#This Row],[Crude_Oil_Price]]-OFFSET(Fuel_prices[[#This Row],[Crude_Oil_Price]],-1,0)),0),2)</f>
        <v>5.56</v>
      </c>
      <c r="H504" s="2">
        <f ca="1">ROUND((IFERROR((Fuel_prices[[#This Row],[Crude_Oil_Price]]-OFFSET(Fuel_prices[[#This Row],[Crude_Oil_Price]],-1,0))/(OFFSET(Fuel_prices[[#This Row],[Crude_Oil_Price]],-1,0)),0))*100,2)</f>
        <v>5.57</v>
      </c>
      <c r="I504" s="2" t="str" cm="1">
        <f t="array" aca="1" ref="I504" ca="1">_xlfn.IFS(
    ABS(Fuel_prices[[#This Row],[%_change]])&gt;50,"SEVERE IMPACT",
    ABS(Fuel_prices[[#This Row],[%_change]])&gt;25,"HIGH IMPACT",
    ABS(Fuel_prices[[#This Row],[%_change]])&gt;5,"MID IMPACT",
    ABS(Fuel_prices[[#This Row],[%_change]])&lt;=5,"LITTLE IMPACT"
)</f>
        <v>MID IMPACT</v>
      </c>
    </row>
    <row r="505" spans="1:9" x14ac:dyDescent="0.25">
      <c r="A505" s="4">
        <v>40878</v>
      </c>
      <c r="B505" s="6" t="str">
        <f>_xlfn.CONCAT("Q",CEILING(Fuel_prices[[#This Row],[Month]]/3,1))</f>
        <v>Q4</v>
      </c>
      <c r="C505" s="6">
        <f>MONTH(Fuel_prices[[#This Row],[Date]])</f>
        <v>12</v>
      </c>
      <c r="D505" s="6" t="str">
        <f>TEXT(Fuel_prices[[#This Row],[Date]],"mmm")</f>
        <v>Dec</v>
      </c>
      <c r="E505" s="6">
        <f>YEAR(Fuel_prices[[#This Row],[Date]])</f>
        <v>2011</v>
      </c>
      <c r="F505" s="5">
        <v>104.23047619048</v>
      </c>
      <c r="G505" s="2">
        <f ca="1">ROUND(IFERROR((Fuel_prices[[#This Row],[Crude_Oil_Price]]-OFFSET(Fuel_prices[[#This Row],[Crude_Oil_Price]],-1,0)),0),2)</f>
        <v>-1.17</v>
      </c>
      <c r="H505" s="2">
        <f ca="1">ROUND((IFERROR((Fuel_prices[[#This Row],[Crude_Oil_Price]]-OFFSET(Fuel_prices[[#This Row],[Crude_Oil_Price]],-1,0))/(OFFSET(Fuel_prices[[#This Row],[Crude_Oil_Price]],-1,0)),0))*100,2)</f>
        <v>-1.1100000000000001</v>
      </c>
      <c r="I505" s="2" t="str" cm="1">
        <f t="array" aca="1" ref="I505" ca="1">_xlfn.IFS(
    ABS(Fuel_prices[[#This Row],[%_change]])&gt;50,"SEVERE IMPACT",
    ABS(Fuel_prices[[#This Row],[%_change]])&gt;25,"HIGH IMPACT",
    ABS(Fuel_prices[[#This Row],[%_change]])&gt;5,"MID IMPACT",
    ABS(Fuel_prices[[#This Row],[%_change]])&lt;=5,"LITTLE IMPACT"
)</f>
        <v>LITTLE IMPACT</v>
      </c>
    </row>
    <row r="506" spans="1:9" x14ac:dyDescent="0.25">
      <c r="A506" s="4">
        <v>40909</v>
      </c>
      <c r="B506" s="6" t="str">
        <f>_xlfn.CONCAT("Q",CEILING(Fuel_prices[[#This Row],[Month]]/3,1))</f>
        <v>Q1</v>
      </c>
      <c r="C506" s="6">
        <f>MONTH(Fuel_prices[[#This Row],[Date]])</f>
        <v>1</v>
      </c>
      <c r="D506" s="6" t="str">
        <f>TEXT(Fuel_prices[[#This Row],[Date]],"mmm")</f>
        <v>Jan</v>
      </c>
      <c r="E506" s="6">
        <f>YEAR(Fuel_prices[[#This Row],[Date]])</f>
        <v>2012</v>
      </c>
      <c r="F506" s="5">
        <v>107.07457226399001</v>
      </c>
      <c r="G506" s="2">
        <f ca="1">ROUND(IFERROR((Fuel_prices[[#This Row],[Crude_Oil_Price]]-OFFSET(Fuel_prices[[#This Row],[Crude_Oil_Price]],-1,0)),0),2)</f>
        <v>2.84</v>
      </c>
      <c r="H506" s="2">
        <f ca="1">ROUND((IFERROR((Fuel_prices[[#This Row],[Crude_Oil_Price]]-OFFSET(Fuel_prices[[#This Row],[Crude_Oil_Price]],-1,0))/(OFFSET(Fuel_prices[[#This Row],[Crude_Oil_Price]],-1,0)),0))*100,2)</f>
        <v>2.73</v>
      </c>
      <c r="I506" s="2" t="str" cm="1">
        <f t="array" aca="1" ref="I506" ca="1">_xlfn.IFS(
    ABS(Fuel_prices[[#This Row],[%_change]])&gt;50,"SEVERE IMPACT",
    ABS(Fuel_prices[[#This Row],[%_change]])&gt;25,"HIGH IMPACT",
    ABS(Fuel_prices[[#This Row],[%_change]])&gt;5,"MID IMPACT",
    ABS(Fuel_prices[[#This Row],[%_change]])&lt;=5,"LITTLE IMPACT"
)</f>
        <v>LITTLE IMPACT</v>
      </c>
    </row>
    <row r="507" spans="1:9" x14ac:dyDescent="0.25">
      <c r="A507" s="4">
        <v>40940</v>
      </c>
      <c r="B507" s="6" t="str">
        <f>_xlfn.CONCAT("Q",CEILING(Fuel_prices[[#This Row],[Month]]/3,1))</f>
        <v>Q1</v>
      </c>
      <c r="C507" s="6">
        <f>MONTH(Fuel_prices[[#This Row],[Date]])</f>
        <v>2</v>
      </c>
      <c r="D507" s="6" t="str">
        <f>TEXT(Fuel_prices[[#This Row],[Date]],"mmm")</f>
        <v>Feb</v>
      </c>
      <c r="E507" s="6">
        <f>YEAR(Fuel_prices[[#This Row],[Date]])</f>
        <v>2012</v>
      </c>
      <c r="F507" s="5">
        <v>112.68752380952</v>
      </c>
      <c r="G507" s="2">
        <f ca="1">ROUND(IFERROR((Fuel_prices[[#This Row],[Crude_Oil_Price]]-OFFSET(Fuel_prices[[#This Row],[Crude_Oil_Price]],-1,0)),0),2)</f>
        <v>5.61</v>
      </c>
      <c r="H507" s="2">
        <f ca="1">ROUND((IFERROR((Fuel_prices[[#This Row],[Crude_Oil_Price]]-OFFSET(Fuel_prices[[#This Row],[Crude_Oil_Price]],-1,0))/(OFFSET(Fuel_prices[[#This Row],[Crude_Oil_Price]],-1,0)),0))*100,2)</f>
        <v>5.24</v>
      </c>
      <c r="I507" s="2" t="str" cm="1">
        <f t="array" aca="1" ref="I507" ca="1">_xlfn.IFS(
    ABS(Fuel_prices[[#This Row],[%_change]])&gt;50,"SEVERE IMPACT",
    ABS(Fuel_prices[[#This Row],[%_change]])&gt;25,"HIGH IMPACT",
    ABS(Fuel_prices[[#This Row],[%_change]])&gt;5,"MID IMPACT",
    ABS(Fuel_prices[[#This Row],[%_change]])&lt;=5,"LITTLE IMPACT"
)</f>
        <v>MID IMPACT</v>
      </c>
    </row>
    <row r="508" spans="1:9" x14ac:dyDescent="0.25">
      <c r="A508" s="4">
        <v>40969</v>
      </c>
      <c r="B508" s="6" t="str">
        <f>_xlfn.CONCAT("Q",CEILING(Fuel_prices[[#This Row],[Month]]/3,1))</f>
        <v>Q1</v>
      </c>
      <c r="C508" s="6">
        <f>MONTH(Fuel_prices[[#This Row],[Date]])</f>
        <v>3</v>
      </c>
      <c r="D508" s="6" t="str">
        <f>TEXT(Fuel_prices[[#This Row],[Date]],"mmm")</f>
        <v>Mar</v>
      </c>
      <c r="E508" s="6">
        <f>YEAR(Fuel_prices[[#This Row],[Date]])</f>
        <v>2012</v>
      </c>
      <c r="F508" s="5">
        <v>117.785</v>
      </c>
      <c r="G508" s="2">
        <f ca="1">ROUND(IFERROR((Fuel_prices[[#This Row],[Crude_Oil_Price]]-OFFSET(Fuel_prices[[#This Row],[Crude_Oil_Price]],-1,0)),0),2)</f>
        <v>5.0999999999999996</v>
      </c>
      <c r="H508" s="2">
        <f ca="1">ROUND((IFERROR((Fuel_prices[[#This Row],[Crude_Oil_Price]]-OFFSET(Fuel_prices[[#This Row],[Crude_Oil_Price]],-1,0))/(OFFSET(Fuel_prices[[#This Row],[Crude_Oil_Price]],-1,0)),0))*100,2)</f>
        <v>4.5199999999999996</v>
      </c>
      <c r="I508" s="2" t="str" cm="1">
        <f t="array" aca="1" ref="I508" ca="1">_xlfn.IFS(
    ABS(Fuel_prices[[#This Row],[%_change]])&gt;50,"SEVERE IMPACT",
    ABS(Fuel_prices[[#This Row],[%_change]])&gt;25,"HIGH IMPACT",
    ABS(Fuel_prices[[#This Row],[%_change]])&gt;5,"MID IMPACT",
    ABS(Fuel_prices[[#This Row],[%_change]])&lt;=5,"LITTLE IMPACT"
)</f>
        <v>LITTLE IMPACT</v>
      </c>
    </row>
    <row r="509" spans="1:9" x14ac:dyDescent="0.25">
      <c r="A509" s="4">
        <v>41000</v>
      </c>
      <c r="B509" s="6" t="str">
        <f>_xlfn.CONCAT("Q",CEILING(Fuel_prices[[#This Row],[Month]]/3,1))</f>
        <v>Q2</v>
      </c>
      <c r="C509" s="6">
        <f>MONTH(Fuel_prices[[#This Row],[Date]])</f>
        <v>4</v>
      </c>
      <c r="D509" s="6" t="str">
        <f>TEXT(Fuel_prices[[#This Row],[Date]],"mmm")</f>
        <v>Apr</v>
      </c>
      <c r="E509" s="6">
        <f>YEAR(Fuel_prices[[#This Row],[Date]])</f>
        <v>2012</v>
      </c>
      <c r="F509" s="5">
        <v>113.66549999999999</v>
      </c>
      <c r="G509" s="2">
        <f ca="1">ROUND(IFERROR((Fuel_prices[[#This Row],[Crude_Oil_Price]]-OFFSET(Fuel_prices[[#This Row],[Crude_Oil_Price]],-1,0)),0),2)</f>
        <v>-4.12</v>
      </c>
      <c r="H509" s="2">
        <f ca="1">ROUND((IFERROR((Fuel_prices[[#This Row],[Crude_Oil_Price]]-OFFSET(Fuel_prices[[#This Row],[Crude_Oil_Price]],-1,0))/(OFFSET(Fuel_prices[[#This Row],[Crude_Oil_Price]],-1,0)),0))*100,2)</f>
        <v>-3.5</v>
      </c>
      <c r="I509" s="2" t="str" cm="1">
        <f t="array" aca="1" ref="I509" ca="1">_xlfn.IFS(
    ABS(Fuel_prices[[#This Row],[%_change]])&gt;50,"SEVERE IMPACT",
    ABS(Fuel_prices[[#This Row],[%_change]])&gt;25,"HIGH IMPACT",
    ABS(Fuel_prices[[#This Row],[%_change]])&gt;5,"MID IMPACT",
    ABS(Fuel_prices[[#This Row],[%_change]])&lt;=5,"LITTLE IMPACT"
)</f>
        <v>LITTLE IMPACT</v>
      </c>
    </row>
    <row r="510" spans="1:9" x14ac:dyDescent="0.25">
      <c r="A510" s="4">
        <v>41030</v>
      </c>
      <c r="B510" s="6" t="str">
        <f>_xlfn.CONCAT("Q",CEILING(Fuel_prices[[#This Row],[Month]]/3,1))</f>
        <v>Q2</v>
      </c>
      <c r="C510" s="6">
        <f>MONTH(Fuel_prices[[#This Row],[Date]])</f>
        <v>5</v>
      </c>
      <c r="D510" s="6" t="str">
        <f>TEXT(Fuel_prices[[#This Row],[Date]],"mmm")</f>
        <v>May</v>
      </c>
      <c r="E510" s="6">
        <f>YEAR(Fuel_prices[[#This Row],[Date]])</f>
        <v>2012</v>
      </c>
      <c r="F510" s="5">
        <v>104.0860342556</v>
      </c>
      <c r="G510" s="2">
        <f ca="1">ROUND(IFERROR((Fuel_prices[[#This Row],[Crude_Oil_Price]]-OFFSET(Fuel_prices[[#This Row],[Crude_Oil_Price]],-1,0)),0),2)</f>
        <v>-9.58</v>
      </c>
      <c r="H510" s="2">
        <f ca="1">ROUND((IFERROR((Fuel_prices[[#This Row],[Crude_Oil_Price]]-OFFSET(Fuel_prices[[#This Row],[Crude_Oil_Price]],-1,0))/(OFFSET(Fuel_prices[[#This Row],[Crude_Oil_Price]],-1,0)),0))*100,2)</f>
        <v>-8.43</v>
      </c>
      <c r="I510" s="2" t="str" cm="1">
        <f t="array" aca="1" ref="I510" ca="1">_xlfn.IFS(
    ABS(Fuel_prices[[#This Row],[%_change]])&gt;50,"SEVERE IMPACT",
    ABS(Fuel_prices[[#This Row],[%_change]])&gt;25,"HIGH IMPACT",
    ABS(Fuel_prices[[#This Row],[%_change]])&gt;5,"MID IMPACT",
    ABS(Fuel_prices[[#This Row],[%_change]])&lt;=5,"LITTLE IMPACT"
)</f>
        <v>MID IMPACT</v>
      </c>
    </row>
    <row r="511" spans="1:9" x14ac:dyDescent="0.25">
      <c r="A511" s="4">
        <v>41061</v>
      </c>
      <c r="B511" s="6" t="str">
        <f>_xlfn.CONCAT("Q",CEILING(Fuel_prices[[#This Row],[Month]]/3,1))</f>
        <v>Q2</v>
      </c>
      <c r="C511" s="6">
        <f>MONTH(Fuel_prices[[#This Row],[Date]])</f>
        <v>6</v>
      </c>
      <c r="D511" s="6" t="str">
        <f>TEXT(Fuel_prices[[#This Row],[Date]],"mmm")</f>
        <v>Jun</v>
      </c>
      <c r="E511" s="6">
        <f>YEAR(Fuel_prices[[#This Row],[Date]])</f>
        <v>2012</v>
      </c>
      <c r="F511" s="5">
        <v>90.728253968250002</v>
      </c>
      <c r="G511" s="2">
        <f ca="1">ROUND(IFERROR((Fuel_prices[[#This Row],[Crude_Oil_Price]]-OFFSET(Fuel_prices[[#This Row],[Crude_Oil_Price]],-1,0)),0),2)</f>
        <v>-13.36</v>
      </c>
      <c r="H511" s="2">
        <f ca="1">ROUND((IFERROR((Fuel_prices[[#This Row],[Crude_Oil_Price]]-OFFSET(Fuel_prices[[#This Row],[Crude_Oil_Price]],-1,0))/(OFFSET(Fuel_prices[[#This Row],[Crude_Oil_Price]],-1,0)),0))*100,2)</f>
        <v>-12.83</v>
      </c>
      <c r="I511" s="2" t="str" cm="1">
        <f t="array" aca="1" ref="I511" ca="1">_xlfn.IFS(
    ABS(Fuel_prices[[#This Row],[%_change]])&gt;50,"SEVERE IMPACT",
    ABS(Fuel_prices[[#This Row],[%_change]])&gt;25,"HIGH IMPACT",
    ABS(Fuel_prices[[#This Row],[%_change]])&gt;5,"MID IMPACT",
    ABS(Fuel_prices[[#This Row],[%_change]])&lt;=5,"LITTLE IMPACT"
)</f>
        <v>MID IMPACT</v>
      </c>
    </row>
    <row r="512" spans="1:9" x14ac:dyDescent="0.25">
      <c r="A512" s="4">
        <v>41091</v>
      </c>
      <c r="B512" s="6" t="str">
        <f>_xlfn.CONCAT("Q",CEILING(Fuel_prices[[#This Row],[Month]]/3,1))</f>
        <v>Q3</v>
      </c>
      <c r="C512" s="6">
        <f>MONTH(Fuel_prices[[#This Row],[Date]])</f>
        <v>7</v>
      </c>
      <c r="D512" s="6" t="str">
        <f>TEXT(Fuel_prices[[#This Row],[Date]],"mmm")</f>
        <v>Jul</v>
      </c>
      <c r="E512" s="6">
        <f>YEAR(Fuel_prices[[#This Row],[Date]])</f>
        <v>2012</v>
      </c>
      <c r="F512" s="5">
        <v>96.754112554109994</v>
      </c>
      <c r="G512" s="2">
        <f ca="1">ROUND(IFERROR((Fuel_prices[[#This Row],[Crude_Oil_Price]]-OFFSET(Fuel_prices[[#This Row],[Crude_Oil_Price]],-1,0)),0),2)</f>
        <v>6.03</v>
      </c>
      <c r="H512" s="2">
        <f ca="1">ROUND((IFERROR((Fuel_prices[[#This Row],[Crude_Oil_Price]]-OFFSET(Fuel_prices[[#This Row],[Crude_Oil_Price]],-1,0))/(OFFSET(Fuel_prices[[#This Row],[Crude_Oil_Price]],-1,0)),0))*100,2)</f>
        <v>6.64</v>
      </c>
      <c r="I512" s="2" t="str" cm="1">
        <f t="array" aca="1" ref="I512" ca="1">_xlfn.IFS(
    ABS(Fuel_prices[[#This Row],[%_change]])&gt;50,"SEVERE IMPACT",
    ABS(Fuel_prices[[#This Row],[%_change]])&gt;25,"HIGH IMPACT",
    ABS(Fuel_prices[[#This Row],[%_change]])&gt;5,"MID IMPACT",
    ABS(Fuel_prices[[#This Row],[%_change]])&lt;=5,"LITTLE IMPACT"
)</f>
        <v>MID IMPACT</v>
      </c>
    </row>
    <row r="513" spans="1:9" x14ac:dyDescent="0.25">
      <c r="A513" s="4">
        <v>41122</v>
      </c>
      <c r="B513" s="6" t="str">
        <f>_xlfn.CONCAT("Q",CEILING(Fuel_prices[[#This Row],[Month]]/3,1))</f>
        <v>Q3</v>
      </c>
      <c r="C513" s="6">
        <f>MONTH(Fuel_prices[[#This Row],[Date]])</f>
        <v>8</v>
      </c>
      <c r="D513" s="6" t="str">
        <f>TEXT(Fuel_prices[[#This Row],[Date]],"mmm")</f>
        <v>Aug</v>
      </c>
      <c r="E513" s="6">
        <f>YEAR(Fuel_prices[[#This Row],[Date]])</f>
        <v>2012</v>
      </c>
      <c r="F513" s="5">
        <v>105.27363699103</v>
      </c>
      <c r="G513" s="2">
        <f ca="1">ROUND(IFERROR((Fuel_prices[[#This Row],[Crude_Oil_Price]]-OFFSET(Fuel_prices[[#This Row],[Crude_Oil_Price]],-1,0)),0),2)</f>
        <v>8.52</v>
      </c>
      <c r="H513" s="2">
        <f ca="1">ROUND((IFERROR((Fuel_prices[[#This Row],[Crude_Oil_Price]]-OFFSET(Fuel_prices[[#This Row],[Crude_Oil_Price]],-1,0))/(OFFSET(Fuel_prices[[#This Row],[Crude_Oil_Price]],-1,0)),0))*100,2)</f>
        <v>8.81</v>
      </c>
      <c r="I513" s="2" t="str" cm="1">
        <f t="array" aca="1" ref="I513" ca="1">_xlfn.IFS(
    ABS(Fuel_prices[[#This Row],[%_change]])&gt;50,"SEVERE IMPACT",
    ABS(Fuel_prices[[#This Row],[%_change]])&gt;25,"HIGH IMPACT",
    ABS(Fuel_prices[[#This Row],[%_change]])&gt;5,"MID IMPACT",
    ABS(Fuel_prices[[#This Row],[%_change]])&lt;=5,"LITTLE IMPACT"
)</f>
        <v>MID IMPACT</v>
      </c>
    </row>
    <row r="514" spans="1:9" x14ac:dyDescent="0.25">
      <c r="A514" s="4">
        <v>41153</v>
      </c>
      <c r="B514" s="6" t="str">
        <f>_xlfn.CONCAT("Q",CEILING(Fuel_prices[[#This Row],[Month]]/3,1))</f>
        <v>Q3</v>
      </c>
      <c r="C514" s="6">
        <f>MONTH(Fuel_prices[[#This Row],[Date]])</f>
        <v>9</v>
      </c>
      <c r="D514" s="6" t="str">
        <f>TEXT(Fuel_prices[[#This Row],[Date]],"mmm")</f>
        <v>Sep</v>
      </c>
      <c r="E514" s="6">
        <f>YEAR(Fuel_prices[[#This Row],[Date]])</f>
        <v>2012</v>
      </c>
      <c r="F514" s="5">
        <v>106.28496491228</v>
      </c>
      <c r="G514" s="2">
        <f ca="1">ROUND(IFERROR((Fuel_prices[[#This Row],[Crude_Oil_Price]]-OFFSET(Fuel_prices[[#This Row],[Crude_Oil_Price]],-1,0)),0),2)</f>
        <v>1.01</v>
      </c>
      <c r="H514" s="2">
        <f ca="1">ROUND((IFERROR((Fuel_prices[[#This Row],[Crude_Oil_Price]]-OFFSET(Fuel_prices[[#This Row],[Crude_Oil_Price]],-1,0))/(OFFSET(Fuel_prices[[#This Row],[Crude_Oil_Price]],-1,0)),0))*100,2)</f>
        <v>0.96</v>
      </c>
      <c r="I514" s="2" t="str" cm="1">
        <f t="array" aca="1" ref="I514" ca="1">_xlfn.IFS(
    ABS(Fuel_prices[[#This Row],[%_change]])&gt;50,"SEVERE IMPACT",
    ABS(Fuel_prices[[#This Row],[%_change]])&gt;25,"HIGH IMPACT",
    ABS(Fuel_prices[[#This Row],[%_change]])&gt;5,"MID IMPACT",
    ABS(Fuel_prices[[#This Row],[%_change]])&lt;=5,"LITTLE IMPACT"
)</f>
        <v>LITTLE IMPACT</v>
      </c>
    </row>
    <row r="515" spans="1:9" x14ac:dyDescent="0.25">
      <c r="A515" s="4">
        <v>41183</v>
      </c>
      <c r="B515" s="6" t="str">
        <f>_xlfn.CONCAT("Q",CEILING(Fuel_prices[[#This Row],[Month]]/3,1))</f>
        <v>Q4</v>
      </c>
      <c r="C515" s="6">
        <f>MONTH(Fuel_prices[[#This Row],[Date]])</f>
        <v>10</v>
      </c>
      <c r="D515" s="6" t="str">
        <f>TEXT(Fuel_prices[[#This Row],[Date]],"mmm")</f>
        <v>Oct</v>
      </c>
      <c r="E515" s="6">
        <f>YEAR(Fuel_prices[[#This Row],[Date]])</f>
        <v>2012</v>
      </c>
      <c r="F515" s="5">
        <v>103.40786561265</v>
      </c>
      <c r="G515" s="2">
        <f ca="1">ROUND(IFERROR((Fuel_prices[[#This Row],[Crude_Oil_Price]]-OFFSET(Fuel_prices[[#This Row],[Crude_Oil_Price]],-1,0)),0),2)</f>
        <v>-2.88</v>
      </c>
      <c r="H515" s="2">
        <f ca="1">ROUND((IFERROR((Fuel_prices[[#This Row],[Crude_Oil_Price]]-OFFSET(Fuel_prices[[#This Row],[Crude_Oil_Price]],-1,0))/(OFFSET(Fuel_prices[[#This Row],[Crude_Oil_Price]],-1,0)),0))*100,2)</f>
        <v>-2.71</v>
      </c>
      <c r="I515" s="2" t="str" cm="1">
        <f t="array" aca="1" ref="I515" ca="1">_xlfn.IFS(
    ABS(Fuel_prices[[#This Row],[%_change]])&gt;50,"SEVERE IMPACT",
    ABS(Fuel_prices[[#This Row],[%_change]])&gt;25,"HIGH IMPACT",
    ABS(Fuel_prices[[#This Row],[%_change]])&gt;5,"MID IMPACT",
    ABS(Fuel_prices[[#This Row],[%_change]])&lt;=5,"LITTLE IMPACT"
)</f>
        <v>LITTLE IMPACT</v>
      </c>
    </row>
    <row r="516" spans="1:9" x14ac:dyDescent="0.25">
      <c r="A516" s="4">
        <v>41214</v>
      </c>
      <c r="B516" s="6" t="str">
        <f>_xlfn.CONCAT("Q",CEILING(Fuel_prices[[#This Row],[Month]]/3,1))</f>
        <v>Q4</v>
      </c>
      <c r="C516" s="6">
        <f>MONTH(Fuel_prices[[#This Row],[Date]])</f>
        <v>11</v>
      </c>
      <c r="D516" s="6" t="str">
        <f>TEXT(Fuel_prices[[#This Row],[Date]],"mmm")</f>
        <v>Nov</v>
      </c>
      <c r="E516" s="6">
        <f>YEAR(Fuel_prices[[#This Row],[Date]])</f>
        <v>2012</v>
      </c>
      <c r="F516" s="5">
        <v>101.17441558442</v>
      </c>
      <c r="G516" s="2">
        <f ca="1">ROUND(IFERROR((Fuel_prices[[#This Row],[Crude_Oil_Price]]-OFFSET(Fuel_prices[[#This Row],[Crude_Oil_Price]],-1,0)),0),2)</f>
        <v>-2.23</v>
      </c>
      <c r="H516" s="2">
        <f ca="1">ROUND((IFERROR((Fuel_prices[[#This Row],[Crude_Oil_Price]]-OFFSET(Fuel_prices[[#This Row],[Crude_Oil_Price]],-1,0))/(OFFSET(Fuel_prices[[#This Row],[Crude_Oil_Price]],-1,0)),0))*100,2)</f>
        <v>-2.16</v>
      </c>
      <c r="I516" s="2" t="str" cm="1">
        <f t="array" aca="1" ref="I516" ca="1">_xlfn.IFS(
    ABS(Fuel_prices[[#This Row],[%_change]])&gt;50,"SEVERE IMPACT",
    ABS(Fuel_prices[[#This Row],[%_change]])&gt;25,"HIGH IMPACT",
    ABS(Fuel_prices[[#This Row],[%_change]])&gt;5,"MID IMPACT",
    ABS(Fuel_prices[[#This Row],[%_change]])&lt;=5,"LITTLE IMPACT"
)</f>
        <v>LITTLE IMPACT</v>
      </c>
    </row>
    <row r="517" spans="1:9" x14ac:dyDescent="0.25">
      <c r="A517" s="4">
        <v>41244</v>
      </c>
      <c r="B517" s="6" t="str">
        <f>_xlfn.CONCAT("Q",CEILING(Fuel_prices[[#This Row],[Month]]/3,1))</f>
        <v>Q4</v>
      </c>
      <c r="C517" s="6">
        <f>MONTH(Fuel_prices[[#This Row],[Date]])</f>
        <v>12</v>
      </c>
      <c r="D517" s="6" t="str">
        <f>TEXT(Fuel_prices[[#This Row],[Date]],"mmm")</f>
        <v>Dec</v>
      </c>
      <c r="E517" s="6">
        <f>YEAR(Fuel_prices[[#This Row],[Date]])</f>
        <v>2012</v>
      </c>
      <c r="F517" s="5">
        <v>101.19366666667</v>
      </c>
      <c r="G517" s="2">
        <f ca="1">ROUND(IFERROR((Fuel_prices[[#This Row],[Crude_Oil_Price]]-OFFSET(Fuel_prices[[#This Row],[Crude_Oil_Price]],-1,0)),0),2)</f>
        <v>0.02</v>
      </c>
      <c r="H517" s="2">
        <f ca="1">ROUND((IFERROR((Fuel_prices[[#This Row],[Crude_Oil_Price]]-OFFSET(Fuel_prices[[#This Row],[Crude_Oil_Price]],-1,0))/(OFFSET(Fuel_prices[[#This Row],[Crude_Oil_Price]],-1,0)),0))*100,2)</f>
        <v>0.02</v>
      </c>
      <c r="I517" s="2" t="str" cm="1">
        <f t="array" aca="1" ref="I517" ca="1">_xlfn.IFS(
    ABS(Fuel_prices[[#This Row],[%_change]])&gt;50,"SEVERE IMPACT",
    ABS(Fuel_prices[[#This Row],[%_change]])&gt;25,"HIGH IMPACT",
    ABS(Fuel_prices[[#This Row],[%_change]])&gt;5,"MID IMPACT",
    ABS(Fuel_prices[[#This Row],[%_change]])&lt;=5,"LITTLE IMPACT"
)</f>
        <v>LITTLE IMPACT</v>
      </c>
    </row>
    <row r="518" spans="1:9" x14ac:dyDescent="0.25">
      <c r="A518" s="4">
        <v>41275</v>
      </c>
      <c r="B518" s="6" t="str">
        <f>_xlfn.CONCAT("Q",CEILING(Fuel_prices[[#This Row],[Month]]/3,1))</f>
        <v>Q1</v>
      </c>
      <c r="C518" s="6">
        <f>MONTH(Fuel_prices[[#This Row],[Date]])</f>
        <v>1</v>
      </c>
      <c r="D518" s="6" t="str">
        <f>TEXT(Fuel_prices[[#This Row],[Date]],"mmm")</f>
        <v>Jan</v>
      </c>
      <c r="E518" s="6">
        <f>YEAR(Fuel_prices[[#This Row],[Date]])</f>
        <v>2013</v>
      </c>
      <c r="F518" s="5">
        <v>105.10021645022</v>
      </c>
      <c r="G518" s="2">
        <f ca="1">ROUND(IFERROR((Fuel_prices[[#This Row],[Crude_Oil_Price]]-OFFSET(Fuel_prices[[#This Row],[Crude_Oil_Price]],-1,0)),0),2)</f>
        <v>3.91</v>
      </c>
      <c r="H518" s="2">
        <f ca="1">ROUND((IFERROR((Fuel_prices[[#This Row],[Crude_Oil_Price]]-OFFSET(Fuel_prices[[#This Row],[Crude_Oil_Price]],-1,0))/(OFFSET(Fuel_prices[[#This Row],[Crude_Oil_Price]],-1,0)),0))*100,2)</f>
        <v>3.86</v>
      </c>
      <c r="I518" s="2" t="str" cm="1">
        <f t="array" aca="1" ref="I518" ca="1">_xlfn.IFS(
    ABS(Fuel_prices[[#This Row],[%_change]])&gt;50,"SEVERE IMPACT",
    ABS(Fuel_prices[[#This Row],[%_change]])&gt;25,"HIGH IMPACT",
    ABS(Fuel_prices[[#This Row],[%_change]])&gt;5,"MID IMPACT",
    ABS(Fuel_prices[[#This Row],[%_change]])&lt;=5,"LITTLE IMPACT"
)</f>
        <v>LITTLE IMPACT</v>
      </c>
    </row>
    <row r="519" spans="1:9" x14ac:dyDescent="0.25">
      <c r="A519" s="4">
        <v>41306</v>
      </c>
      <c r="B519" s="6" t="str">
        <f>_xlfn.CONCAT("Q",CEILING(Fuel_prices[[#This Row],[Month]]/3,1))</f>
        <v>Q1</v>
      </c>
      <c r="C519" s="6">
        <f>MONTH(Fuel_prices[[#This Row],[Date]])</f>
        <v>2</v>
      </c>
      <c r="D519" s="6" t="str">
        <f>TEXT(Fuel_prices[[#This Row],[Date]],"mmm")</f>
        <v>Feb</v>
      </c>
      <c r="E519" s="6">
        <f>YEAR(Fuel_prices[[#This Row],[Date]])</f>
        <v>2013</v>
      </c>
      <c r="F519" s="5">
        <v>107.63743567252</v>
      </c>
      <c r="G519" s="2">
        <f ca="1">ROUND(IFERROR((Fuel_prices[[#This Row],[Crude_Oil_Price]]-OFFSET(Fuel_prices[[#This Row],[Crude_Oil_Price]],-1,0)),0),2)</f>
        <v>2.54</v>
      </c>
      <c r="H519" s="2">
        <f ca="1">ROUND((IFERROR((Fuel_prices[[#This Row],[Crude_Oil_Price]]-OFFSET(Fuel_prices[[#This Row],[Crude_Oil_Price]],-1,0))/(OFFSET(Fuel_prices[[#This Row],[Crude_Oil_Price]],-1,0)),0))*100,2)</f>
        <v>2.41</v>
      </c>
      <c r="I519" s="2" t="str" cm="1">
        <f t="array" aca="1" ref="I519" ca="1">_xlfn.IFS(
    ABS(Fuel_prices[[#This Row],[%_change]])&gt;50,"SEVERE IMPACT",
    ABS(Fuel_prices[[#This Row],[%_change]])&gt;25,"HIGH IMPACT",
    ABS(Fuel_prices[[#This Row],[%_change]])&gt;5,"MID IMPACT",
    ABS(Fuel_prices[[#This Row],[%_change]])&lt;=5,"LITTLE IMPACT"
)</f>
        <v>LITTLE IMPACT</v>
      </c>
    </row>
    <row r="520" spans="1:9" x14ac:dyDescent="0.25">
      <c r="A520" s="4">
        <v>41334</v>
      </c>
      <c r="B520" s="6" t="str">
        <f>_xlfn.CONCAT("Q",CEILING(Fuel_prices[[#This Row],[Month]]/3,1))</f>
        <v>Q1</v>
      </c>
      <c r="C520" s="6">
        <f>MONTH(Fuel_prices[[#This Row],[Date]])</f>
        <v>3</v>
      </c>
      <c r="D520" s="6" t="str">
        <f>TEXT(Fuel_prices[[#This Row],[Date]],"mmm")</f>
        <v>Mar</v>
      </c>
      <c r="E520" s="6">
        <f>YEAR(Fuel_prices[[#This Row],[Date]])</f>
        <v>2013</v>
      </c>
      <c r="F520" s="5">
        <v>102.52249999999999</v>
      </c>
      <c r="G520" s="2">
        <f ca="1">ROUND(IFERROR((Fuel_prices[[#This Row],[Crude_Oil_Price]]-OFFSET(Fuel_prices[[#This Row],[Crude_Oil_Price]],-1,0)),0),2)</f>
        <v>-5.1100000000000003</v>
      </c>
      <c r="H520" s="2">
        <f ca="1">ROUND((IFERROR((Fuel_prices[[#This Row],[Crude_Oil_Price]]-OFFSET(Fuel_prices[[#This Row],[Crude_Oil_Price]],-1,0))/(OFFSET(Fuel_prices[[#This Row],[Crude_Oil_Price]],-1,0)),0))*100,2)</f>
        <v>-4.75</v>
      </c>
      <c r="I520" s="2" t="str" cm="1">
        <f t="array" aca="1" ref="I520" ca="1">_xlfn.IFS(
    ABS(Fuel_prices[[#This Row],[%_change]])&gt;50,"SEVERE IMPACT",
    ABS(Fuel_prices[[#This Row],[%_change]])&gt;25,"HIGH IMPACT",
    ABS(Fuel_prices[[#This Row],[%_change]])&gt;5,"MID IMPACT",
    ABS(Fuel_prices[[#This Row],[%_change]])&lt;=5,"LITTLE IMPACT"
)</f>
        <v>LITTLE IMPACT</v>
      </c>
    </row>
    <row r="521" spans="1:9" x14ac:dyDescent="0.25">
      <c r="A521" s="4">
        <v>41365</v>
      </c>
      <c r="B521" s="6" t="str">
        <f>_xlfn.CONCAT("Q",CEILING(Fuel_prices[[#This Row],[Month]]/3,1))</f>
        <v>Q2</v>
      </c>
      <c r="C521" s="6">
        <f>MONTH(Fuel_prices[[#This Row],[Date]])</f>
        <v>4</v>
      </c>
      <c r="D521" s="6" t="str">
        <f>TEXT(Fuel_prices[[#This Row],[Date]],"mmm")</f>
        <v>Apr</v>
      </c>
      <c r="E521" s="6">
        <f>YEAR(Fuel_prices[[#This Row],[Date]])</f>
        <v>2013</v>
      </c>
      <c r="F521" s="5">
        <v>98.851969696970002</v>
      </c>
      <c r="G521" s="2">
        <f ca="1">ROUND(IFERROR((Fuel_prices[[#This Row],[Crude_Oil_Price]]-OFFSET(Fuel_prices[[#This Row],[Crude_Oil_Price]],-1,0)),0),2)</f>
        <v>-3.67</v>
      </c>
      <c r="H521" s="2">
        <f ca="1">ROUND((IFERROR((Fuel_prices[[#This Row],[Crude_Oil_Price]]-OFFSET(Fuel_prices[[#This Row],[Crude_Oil_Price]],-1,0))/(OFFSET(Fuel_prices[[#This Row],[Crude_Oil_Price]],-1,0)),0))*100,2)</f>
        <v>-3.58</v>
      </c>
      <c r="I521" s="2" t="str" cm="1">
        <f t="array" aca="1" ref="I521" ca="1">_xlfn.IFS(
    ABS(Fuel_prices[[#This Row],[%_change]])&gt;50,"SEVERE IMPACT",
    ABS(Fuel_prices[[#This Row],[%_change]])&gt;25,"HIGH IMPACT",
    ABS(Fuel_prices[[#This Row],[%_change]])&gt;5,"MID IMPACT",
    ABS(Fuel_prices[[#This Row],[%_change]])&lt;=5,"LITTLE IMPACT"
)</f>
        <v>LITTLE IMPACT</v>
      </c>
    </row>
    <row r="522" spans="1:9" x14ac:dyDescent="0.25">
      <c r="A522" s="4">
        <v>41395</v>
      </c>
      <c r="B522" s="6" t="str">
        <f>_xlfn.CONCAT("Q",CEILING(Fuel_prices[[#This Row],[Month]]/3,1))</f>
        <v>Q2</v>
      </c>
      <c r="C522" s="6">
        <f>MONTH(Fuel_prices[[#This Row],[Date]])</f>
        <v>5</v>
      </c>
      <c r="D522" s="6" t="str">
        <f>TEXT(Fuel_prices[[#This Row],[Date]],"mmm")</f>
        <v>May</v>
      </c>
      <c r="E522" s="6">
        <f>YEAR(Fuel_prices[[#This Row],[Date]])</f>
        <v>2013</v>
      </c>
      <c r="F522" s="5">
        <v>99.366633414890003</v>
      </c>
      <c r="G522" s="2">
        <f ca="1">ROUND(IFERROR((Fuel_prices[[#This Row],[Crude_Oil_Price]]-OFFSET(Fuel_prices[[#This Row],[Crude_Oil_Price]],-1,0)),0),2)</f>
        <v>0.51</v>
      </c>
      <c r="H522" s="2">
        <f ca="1">ROUND((IFERROR((Fuel_prices[[#This Row],[Crude_Oil_Price]]-OFFSET(Fuel_prices[[#This Row],[Crude_Oil_Price]],-1,0))/(OFFSET(Fuel_prices[[#This Row],[Crude_Oil_Price]],-1,0)),0))*100,2)</f>
        <v>0.52</v>
      </c>
      <c r="I522" s="2" t="str" cm="1">
        <f t="array" aca="1" ref="I522" ca="1">_xlfn.IFS(
    ABS(Fuel_prices[[#This Row],[%_change]])&gt;50,"SEVERE IMPACT",
    ABS(Fuel_prices[[#This Row],[%_change]])&gt;25,"HIGH IMPACT",
    ABS(Fuel_prices[[#This Row],[%_change]])&gt;5,"MID IMPACT",
    ABS(Fuel_prices[[#This Row],[%_change]])&lt;=5,"LITTLE IMPACT"
)</f>
        <v>LITTLE IMPACT</v>
      </c>
    </row>
    <row r="523" spans="1:9" x14ac:dyDescent="0.25">
      <c r="A523" s="4">
        <v>41426</v>
      </c>
      <c r="B523" s="6" t="str">
        <f>_xlfn.CONCAT("Q",CEILING(Fuel_prices[[#This Row],[Month]]/3,1))</f>
        <v>Q2</v>
      </c>
      <c r="C523" s="6">
        <f>MONTH(Fuel_prices[[#This Row],[Date]])</f>
        <v>6</v>
      </c>
      <c r="D523" s="6" t="str">
        <f>TEXT(Fuel_prices[[#This Row],[Date]],"mmm")</f>
        <v>Jun</v>
      </c>
      <c r="E523" s="6">
        <f>YEAR(Fuel_prices[[#This Row],[Date]])</f>
        <v>2013</v>
      </c>
      <c r="F523" s="5">
        <v>99.742666666670004</v>
      </c>
      <c r="G523" s="2">
        <f ca="1">ROUND(IFERROR((Fuel_prices[[#This Row],[Crude_Oil_Price]]-OFFSET(Fuel_prices[[#This Row],[Crude_Oil_Price]],-1,0)),0),2)</f>
        <v>0.38</v>
      </c>
      <c r="H523" s="2">
        <f ca="1">ROUND((IFERROR((Fuel_prices[[#This Row],[Crude_Oil_Price]]-OFFSET(Fuel_prices[[#This Row],[Crude_Oil_Price]],-1,0))/(OFFSET(Fuel_prices[[#This Row],[Crude_Oil_Price]],-1,0)),0))*100,2)</f>
        <v>0.38</v>
      </c>
      <c r="I523" s="2" t="str" cm="1">
        <f t="array" aca="1" ref="I523" ca="1">_xlfn.IFS(
    ABS(Fuel_prices[[#This Row],[%_change]])&gt;50,"SEVERE IMPACT",
    ABS(Fuel_prices[[#This Row],[%_change]])&gt;25,"HIGH IMPACT",
    ABS(Fuel_prices[[#This Row],[%_change]])&gt;5,"MID IMPACT",
    ABS(Fuel_prices[[#This Row],[%_change]])&lt;=5,"LITTLE IMPACT"
)</f>
        <v>LITTLE IMPACT</v>
      </c>
    </row>
    <row r="524" spans="1:9" x14ac:dyDescent="0.25">
      <c r="A524" s="4">
        <v>41456</v>
      </c>
      <c r="B524" s="6" t="str">
        <f>_xlfn.CONCAT("Q",CEILING(Fuel_prices[[#This Row],[Month]]/3,1))</f>
        <v>Q3</v>
      </c>
      <c r="C524" s="6">
        <f>MONTH(Fuel_prices[[#This Row],[Date]])</f>
        <v>7</v>
      </c>
      <c r="D524" s="6" t="str">
        <f>TEXT(Fuel_prices[[#This Row],[Date]],"mmm")</f>
        <v>Jul</v>
      </c>
      <c r="E524" s="6">
        <f>YEAR(Fuel_prices[[#This Row],[Date]])</f>
        <v>2013</v>
      </c>
      <c r="F524" s="5">
        <v>105.25790513834001</v>
      </c>
      <c r="G524" s="2">
        <f ca="1">ROUND(IFERROR((Fuel_prices[[#This Row],[Crude_Oil_Price]]-OFFSET(Fuel_prices[[#This Row],[Crude_Oil_Price]],-1,0)),0),2)</f>
        <v>5.52</v>
      </c>
      <c r="H524" s="2">
        <f ca="1">ROUND((IFERROR((Fuel_prices[[#This Row],[Crude_Oil_Price]]-OFFSET(Fuel_prices[[#This Row],[Crude_Oil_Price]],-1,0))/(OFFSET(Fuel_prices[[#This Row],[Crude_Oil_Price]],-1,0)),0))*100,2)</f>
        <v>5.53</v>
      </c>
      <c r="I524" s="2" t="str" cm="1">
        <f t="array" aca="1" ref="I524" ca="1">_xlfn.IFS(
    ABS(Fuel_prices[[#This Row],[%_change]])&gt;50,"SEVERE IMPACT",
    ABS(Fuel_prices[[#This Row],[%_change]])&gt;25,"HIGH IMPACT",
    ABS(Fuel_prices[[#This Row],[%_change]])&gt;5,"MID IMPACT",
    ABS(Fuel_prices[[#This Row],[%_change]])&lt;=5,"LITTLE IMPACT"
)</f>
        <v>MID IMPACT</v>
      </c>
    </row>
    <row r="525" spans="1:9" x14ac:dyDescent="0.25">
      <c r="A525" s="4">
        <v>41487</v>
      </c>
      <c r="B525" s="6" t="str">
        <f>_xlfn.CONCAT("Q",CEILING(Fuel_prices[[#This Row],[Month]]/3,1))</f>
        <v>Q3</v>
      </c>
      <c r="C525" s="6">
        <f>MONTH(Fuel_prices[[#This Row],[Date]])</f>
        <v>8</v>
      </c>
      <c r="D525" s="6" t="str">
        <f>TEXT(Fuel_prices[[#This Row],[Date]],"mmm")</f>
        <v>Aug</v>
      </c>
      <c r="E525" s="6">
        <f>YEAR(Fuel_prices[[#This Row],[Date]])</f>
        <v>2013</v>
      </c>
      <c r="F525" s="5">
        <v>108.15763636363999</v>
      </c>
      <c r="G525" s="2">
        <f ca="1">ROUND(IFERROR((Fuel_prices[[#This Row],[Crude_Oil_Price]]-OFFSET(Fuel_prices[[#This Row],[Crude_Oil_Price]],-1,0)),0),2)</f>
        <v>2.9</v>
      </c>
      <c r="H525" s="2">
        <f ca="1">ROUND((IFERROR((Fuel_prices[[#This Row],[Crude_Oil_Price]]-OFFSET(Fuel_prices[[#This Row],[Crude_Oil_Price]],-1,0))/(OFFSET(Fuel_prices[[#This Row],[Crude_Oil_Price]],-1,0)),0))*100,2)</f>
        <v>2.75</v>
      </c>
      <c r="I525" s="2" t="str" cm="1">
        <f t="array" aca="1" ref="I525" ca="1">_xlfn.IFS(
    ABS(Fuel_prices[[#This Row],[%_change]])&gt;50,"SEVERE IMPACT",
    ABS(Fuel_prices[[#This Row],[%_change]])&gt;25,"HIGH IMPACT",
    ABS(Fuel_prices[[#This Row],[%_change]])&gt;5,"MID IMPACT",
    ABS(Fuel_prices[[#This Row],[%_change]])&lt;=5,"LITTLE IMPACT"
)</f>
        <v>LITTLE IMPACT</v>
      </c>
    </row>
    <row r="526" spans="1:9" x14ac:dyDescent="0.25">
      <c r="A526" s="4">
        <v>41518</v>
      </c>
      <c r="B526" s="6" t="str">
        <f>_xlfn.CONCAT("Q",CEILING(Fuel_prices[[#This Row],[Month]]/3,1))</f>
        <v>Q3</v>
      </c>
      <c r="C526" s="6">
        <f>MONTH(Fuel_prices[[#This Row],[Date]])</f>
        <v>9</v>
      </c>
      <c r="D526" s="6" t="str">
        <f>TEXT(Fuel_prices[[#This Row],[Date]],"mmm")</f>
        <v>Sep</v>
      </c>
      <c r="E526" s="6">
        <f>YEAR(Fuel_prices[[#This Row],[Date]])</f>
        <v>2013</v>
      </c>
      <c r="F526" s="5">
        <v>108.75773015873</v>
      </c>
      <c r="G526" s="2">
        <f ca="1">ROUND(IFERROR((Fuel_prices[[#This Row],[Crude_Oil_Price]]-OFFSET(Fuel_prices[[#This Row],[Crude_Oil_Price]],-1,0)),0),2)</f>
        <v>0.6</v>
      </c>
      <c r="H526" s="2">
        <f ca="1">ROUND((IFERROR((Fuel_prices[[#This Row],[Crude_Oil_Price]]-OFFSET(Fuel_prices[[#This Row],[Crude_Oil_Price]],-1,0))/(OFFSET(Fuel_prices[[#This Row],[Crude_Oil_Price]],-1,0)),0))*100,2)</f>
        <v>0.55000000000000004</v>
      </c>
      <c r="I526" s="2" t="str" cm="1">
        <f t="array" aca="1" ref="I526" ca="1">_xlfn.IFS(
    ABS(Fuel_prices[[#This Row],[%_change]])&gt;50,"SEVERE IMPACT",
    ABS(Fuel_prices[[#This Row],[%_change]])&gt;25,"HIGH IMPACT",
    ABS(Fuel_prices[[#This Row],[%_change]])&gt;5,"MID IMPACT",
    ABS(Fuel_prices[[#This Row],[%_change]])&lt;=5,"LITTLE IMPACT"
)</f>
        <v>LITTLE IMPACT</v>
      </c>
    </row>
    <row r="527" spans="1:9" x14ac:dyDescent="0.25">
      <c r="A527" s="4">
        <v>41548</v>
      </c>
      <c r="B527" s="6" t="str">
        <f>_xlfn.CONCAT("Q",CEILING(Fuel_prices[[#This Row],[Month]]/3,1))</f>
        <v>Q4</v>
      </c>
      <c r="C527" s="6">
        <f>MONTH(Fuel_prices[[#This Row],[Date]])</f>
        <v>10</v>
      </c>
      <c r="D527" s="6" t="str">
        <f>TEXT(Fuel_prices[[#This Row],[Date]],"mmm")</f>
        <v>Oct</v>
      </c>
      <c r="E527" s="6">
        <f>YEAR(Fuel_prices[[#This Row],[Date]])</f>
        <v>2013</v>
      </c>
      <c r="F527" s="5">
        <v>105.42713438734999</v>
      </c>
      <c r="G527" s="2">
        <f ca="1">ROUND(IFERROR((Fuel_prices[[#This Row],[Crude_Oil_Price]]-OFFSET(Fuel_prices[[#This Row],[Crude_Oil_Price]],-1,0)),0),2)</f>
        <v>-3.33</v>
      </c>
      <c r="H527" s="2">
        <f ca="1">ROUND((IFERROR((Fuel_prices[[#This Row],[Crude_Oil_Price]]-OFFSET(Fuel_prices[[#This Row],[Crude_Oil_Price]],-1,0))/(OFFSET(Fuel_prices[[#This Row],[Crude_Oil_Price]],-1,0)),0))*100,2)</f>
        <v>-3.06</v>
      </c>
      <c r="I527" s="2" t="str" cm="1">
        <f t="array" aca="1" ref="I527" ca="1">_xlfn.IFS(
    ABS(Fuel_prices[[#This Row],[%_change]])&gt;50,"SEVERE IMPACT",
    ABS(Fuel_prices[[#This Row],[%_change]])&gt;25,"HIGH IMPACT",
    ABS(Fuel_prices[[#This Row],[%_change]])&gt;5,"MID IMPACT",
    ABS(Fuel_prices[[#This Row],[%_change]])&lt;=5,"LITTLE IMPACT"
)</f>
        <v>LITTLE IMPACT</v>
      </c>
    </row>
    <row r="528" spans="1:9" x14ac:dyDescent="0.25">
      <c r="A528" s="4">
        <v>41579</v>
      </c>
      <c r="B528" s="6" t="str">
        <f>_xlfn.CONCAT("Q",CEILING(Fuel_prices[[#This Row],[Month]]/3,1))</f>
        <v>Q4</v>
      </c>
      <c r="C528" s="6">
        <f>MONTH(Fuel_prices[[#This Row],[Date]])</f>
        <v>11</v>
      </c>
      <c r="D528" s="6" t="str">
        <f>TEXT(Fuel_prices[[#This Row],[Date]],"mmm")</f>
        <v>Nov</v>
      </c>
      <c r="E528" s="6">
        <f>YEAR(Fuel_prices[[#This Row],[Date]])</f>
        <v>2013</v>
      </c>
      <c r="F528" s="5">
        <v>102.62649122806999</v>
      </c>
      <c r="G528" s="2">
        <f ca="1">ROUND(IFERROR((Fuel_prices[[#This Row],[Crude_Oil_Price]]-OFFSET(Fuel_prices[[#This Row],[Crude_Oil_Price]],-1,0)),0),2)</f>
        <v>-2.8</v>
      </c>
      <c r="H528" s="2">
        <f ca="1">ROUND((IFERROR((Fuel_prices[[#This Row],[Crude_Oil_Price]]-OFFSET(Fuel_prices[[#This Row],[Crude_Oil_Price]],-1,0))/(OFFSET(Fuel_prices[[#This Row],[Crude_Oil_Price]],-1,0)),0))*100,2)</f>
        <v>-2.66</v>
      </c>
      <c r="I528" s="2" t="str" cm="1">
        <f t="array" aca="1" ref="I528" ca="1">_xlfn.IFS(
    ABS(Fuel_prices[[#This Row],[%_change]])&gt;50,"SEVERE IMPACT",
    ABS(Fuel_prices[[#This Row],[%_change]])&gt;25,"HIGH IMPACT",
    ABS(Fuel_prices[[#This Row],[%_change]])&gt;5,"MID IMPACT",
    ABS(Fuel_prices[[#This Row],[%_change]])&lt;=5,"LITTLE IMPACT"
)</f>
        <v>LITTLE IMPACT</v>
      </c>
    </row>
    <row r="529" spans="1:9" x14ac:dyDescent="0.25">
      <c r="A529" s="4">
        <v>41609</v>
      </c>
      <c r="B529" s="6" t="str">
        <f>_xlfn.CONCAT("Q",CEILING(Fuel_prices[[#This Row],[Month]]/3,1))</f>
        <v>Q4</v>
      </c>
      <c r="C529" s="6">
        <f>MONTH(Fuel_prices[[#This Row],[Date]])</f>
        <v>12</v>
      </c>
      <c r="D529" s="6" t="str">
        <f>TEXT(Fuel_prices[[#This Row],[Date]],"mmm")</f>
        <v>Dec</v>
      </c>
      <c r="E529" s="6">
        <f>YEAR(Fuel_prices[[#This Row],[Date]])</f>
        <v>2013</v>
      </c>
      <c r="F529" s="5">
        <v>105.48165079365</v>
      </c>
      <c r="G529" s="2">
        <f ca="1">ROUND(IFERROR((Fuel_prices[[#This Row],[Crude_Oil_Price]]-OFFSET(Fuel_prices[[#This Row],[Crude_Oil_Price]],-1,0)),0),2)</f>
        <v>2.86</v>
      </c>
      <c r="H529" s="2">
        <f ca="1">ROUND((IFERROR((Fuel_prices[[#This Row],[Crude_Oil_Price]]-OFFSET(Fuel_prices[[#This Row],[Crude_Oil_Price]],-1,0))/(OFFSET(Fuel_prices[[#This Row],[Crude_Oil_Price]],-1,0)),0))*100,2)</f>
        <v>2.78</v>
      </c>
      <c r="I529" s="2" t="str" cm="1">
        <f t="array" aca="1" ref="I529" ca="1">_xlfn.IFS(
    ABS(Fuel_prices[[#This Row],[%_change]])&gt;50,"SEVERE IMPACT",
    ABS(Fuel_prices[[#This Row],[%_change]])&gt;25,"HIGH IMPACT",
    ABS(Fuel_prices[[#This Row],[%_change]])&gt;5,"MID IMPACT",
    ABS(Fuel_prices[[#This Row],[%_change]])&lt;=5,"LITTLE IMPACT"
)</f>
        <v>LITTLE IMPACT</v>
      </c>
    </row>
    <row r="530" spans="1:9" x14ac:dyDescent="0.25">
      <c r="A530" s="4">
        <v>41640</v>
      </c>
      <c r="B530" s="6" t="str">
        <f>_xlfn.CONCAT("Q",CEILING(Fuel_prices[[#This Row],[Month]]/3,1))</f>
        <v>Q1</v>
      </c>
      <c r="C530" s="6">
        <f>MONTH(Fuel_prices[[#This Row],[Date]])</f>
        <v>1</v>
      </c>
      <c r="D530" s="6" t="str">
        <f>TEXT(Fuel_prices[[#This Row],[Date]],"mmm")</f>
        <v>Jan</v>
      </c>
      <c r="E530" s="6">
        <f>YEAR(Fuel_prices[[#This Row],[Date]])</f>
        <v>2014</v>
      </c>
      <c r="F530" s="5">
        <v>102.09666666667</v>
      </c>
      <c r="G530" s="2">
        <f ca="1">ROUND(IFERROR((Fuel_prices[[#This Row],[Crude_Oil_Price]]-OFFSET(Fuel_prices[[#This Row],[Crude_Oil_Price]],-1,0)),0),2)</f>
        <v>-3.38</v>
      </c>
      <c r="H530" s="2">
        <f ca="1">ROUND((IFERROR((Fuel_prices[[#This Row],[Crude_Oil_Price]]-OFFSET(Fuel_prices[[#This Row],[Crude_Oil_Price]],-1,0))/(OFFSET(Fuel_prices[[#This Row],[Crude_Oil_Price]],-1,0)),0))*100,2)</f>
        <v>-3.21</v>
      </c>
      <c r="I530" s="2" t="str" cm="1">
        <f t="array" aca="1" ref="I530" ca="1">_xlfn.IFS(
    ABS(Fuel_prices[[#This Row],[%_change]])&gt;50,"SEVERE IMPACT",
    ABS(Fuel_prices[[#This Row],[%_change]])&gt;25,"HIGH IMPACT",
    ABS(Fuel_prices[[#This Row],[%_change]])&gt;5,"MID IMPACT",
    ABS(Fuel_prices[[#This Row],[%_change]])&lt;=5,"LITTLE IMPACT"
)</f>
        <v>LITTLE IMPACT</v>
      </c>
    </row>
    <row r="531" spans="1:9" x14ac:dyDescent="0.25">
      <c r="A531" s="4">
        <v>41671</v>
      </c>
      <c r="B531" s="6" t="str">
        <f>_xlfn.CONCAT("Q",CEILING(Fuel_prices[[#This Row],[Month]]/3,1))</f>
        <v>Q1</v>
      </c>
      <c r="C531" s="6">
        <f>MONTH(Fuel_prices[[#This Row],[Date]])</f>
        <v>2</v>
      </c>
      <c r="D531" s="6" t="str">
        <f>TEXT(Fuel_prices[[#This Row],[Date]],"mmm")</f>
        <v>Feb</v>
      </c>
      <c r="E531" s="6">
        <f>YEAR(Fuel_prices[[#This Row],[Date]])</f>
        <v>2014</v>
      </c>
      <c r="F531" s="5">
        <v>104.82666666666999</v>
      </c>
      <c r="G531" s="2">
        <f ca="1">ROUND(IFERROR((Fuel_prices[[#This Row],[Crude_Oil_Price]]-OFFSET(Fuel_prices[[#This Row],[Crude_Oil_Price]],-1,0)),0),2)</f>
        <v>2.73</v>
      </c>
      <c r="H531" s="2">
        <f ca="1">ROUND((IFERROR((Fuel_prices[[#This Row],[Crude_Oil_Price]]-OFFSET(Fuel_prices[[#This Row],[Crude_Oil_Price]],-1,0))/(OFFSET(Fuel_prices[[#This Row],[Crude_Oil_Price]],-1,0)),0))*100,2)</f>
        <v>2.67</v>
      </c>
      <c r="I531" s="2" t="str" cm="1">
        <f t="array" aca="1" ref="I531" ca="1">_xlfn.IFS(
    ABS(Fuel_prices[[#This Row],[%_change]])&gt;50,"SEVERE IMPACT",
    ABS(Fuel_prices[[#This Row],[%_change]])&gt;25,"HIGH IMPACT",
    ABS(Fuel_prices[[#This Row],[%_change]])&gt;5,"MID IMPACT",
    ABS(Fuel_prices[[#This Row],[%_change]])&lt;=5,"LITTLE IMPACT"
)</f>
        <v>LITTLE IMPACT</v>
      </c>
    </row>
    <row r="532" spans="1:9" x14ac:dyDescent="0.25">
      <c r="A532" s="4">
        <v>41699</v>
      </c>
      <c r="B532" s="6" t="str">
        <f>_xlfn.CONCAT("Q",CEILING(Fuel_prices[[#This Row],[Month]]/3,1))</f>
        <v>Q1</v>
      </c>
      <c r="C532" s="6">
        <f>MONTH(Fuel_prices[[#This Row],[Date]])</f>
        <v>3</v>
      </c>
      <c r="D532" s="6" t="str">
        <f>TEXT(Fuel_prices[[#This Row],[Date]],"mmm")</f>
        <v>Mar</v>
      </c>
      <c r="E532" s="6">
        <f>YEAR(Fuel_prices[[#This Row],[Date]])</f>
        <v>2014</v>
      </c>
      <c r="F532" s="5">
        <v>104.04</v>
      </c>
      <c r="G532" s="2">
        <f ca="1">ROUND(IFERROR((Fuel_prices[[#This Row],[Crude_Oil_Price]]-OFFSET(Fuel_prices[[#This Row],[Crude_Oil_Price]],-1,0)),0),2)</f>
        <v>-0.79</v>
      </c>
      <c r="H532" s="2">
        <f ca="1">ROUND((IFERROR((Fuel_prices[[#This Row],[Crude_Oil_Price]]-OFFSET(Fuel_prices[[#This Row],[Crude_Oil_Price]],-1,0))/(OFFSET(Fuel_prices[[#This Row],[Crude_Oil_Price]],-1,0)),0))*100,2)</f>
        <v>-0.75</v>
      </c>
      <c r="I532" s="2" t="str" cm="1">
        <f t="array" aca="1" ref="I532" ca="1">_xlfn.IFS(
    ABS(Fuel_prices[[#This Row],[%_change]])&gt;50,"SEVERE IMPACT",
    ABS(Fuel_prices[[#This Row],[%_change]])&gt;25,"HIGH IMPACT",
    ABS(Fuel_prices[[#This Row],[%_change]])&gt;5,"MID IMPACT",
    ABS(Fuel_prices[[#This Row],[%_change]])&lt;=5,"LITTLE IMPACT"
)</f>
        <v>LITTLE IMPACT</v>
      </c>
    </row>
    <row r="533" spans="1:9" x14ac:dyDescent="0.25">
      <c r="A533" s="4">
        <v>41730</v>
      </c>
      <c r="B533" s="6" t="str">
        <f>_xlfn.CONCAT("Q",CEILING(Fuel_prices[[#This Row],[Month]]/3,1))</f>
        <v>Q2</v>
      </c>
      <c r="C533" s="6">
        <f>MONTH(Fuel_prices[[#This Row],[Date]])</f>
        <v>4</v>
      </c>
      <c r="D533" s="6" t="str">
        <f>TEXT(Fuel_prices[[#This Row],[Date]],"mmm")</f>
        <v>Apr</v>
      </c>
      <c r="E533" s="6">
        <f>YEAR(Fuel_prices[[#This Row],[Date]])</f>
        <v>2014</v>
      </c>
      <c r="F533" s="5">
        <v>104.86666666667</v>
      </c>
      <c r="G533" s="2">
        <f ca="1">ROUND(IFERROR((Fuel_prices[[#This Row],[Crude_Oil_Price]]-OFFSET(Fuel_prices[[#This Row],[Crude_Oil_Price]],-1,0)),0),2)</f>
        <v>0.83</v>
      </c>
      <c r="H533" s="2">
        <f ca="1">ROUND((IFERROR((Fuel_prices[[#This Row],[Crude_Oil_Price]]-OFFSET(Fuel_prices[[#This Row],[Crude_Oil_Price]],-1,0))/(OFFSET(Fuel_prices[[#This Row],[Crude_Oil_Price]],-1,0)),0))*100,2)</f>
        <v>0.79</v>
      </c>
      <c r="I533" s="2" t="str" cm="1">
        <f t="array" aca="1" ref="I533" ca="1">_xlfn.IFS(
    ABS(Fuel_prices[[#This Row],[%_change]])&gt;50,"SEVERE IMPACT",
    ABS(Fuel_prices[[#This Row],[%_change]])&gt;25,"HIGH IMPACT",
    ABS(Fuel_prices[[#This Row],[%_change]])&gt;5,"MID IMPACT",
    ABS(Fuel_prices[[#This Row],[%_change]])&lt;=5,"LITTLE IMPACT"
)</f>
        <v>LITTLE IMPACT</v>
      </c>
    </row>
    <row r="534" spans="1:9" x14ac:dyDescent="0.25">
      <c r="A534" s="4">
        <v>41760</v>
      </c>
      <c r="B534" s="6" t="str">
        <f>_xlfn.CONCAT("Q",CEILING(Fuel_prices[[#This Row],[Month]]/3,1))</f>
        <v>Q2</v>
      </c>
      <c r="C534" s="6">
        <f>MONTH(Fuel_prices[[#This Row],[Date]])</f>
        <v>5</v>
      </c>
      <c r="D534" s="6" t="str">
        <f>TEXT(Fuel_prices[[#This Row],[Date]],"mmm")</f>
        <v>May</v>
      </c>
      <c r="E534" s="6">
        <f>YEAR(Fuel_prices[[#This Row],[Date]])</f>
        <v>2014</v>
      </c>
      <c r="F534" s="5">
        <v>105.71333333333</v>
      </c>
      <c r="G534" s="2">
        <f ca="1">ROUND(IFERROR((Fuel_prices[[#This Row],[Crude_Oil_Price]]-OFFSET(Fuel_prices[[#This Row],[Crude_Oil_Price]],-1,0)),0),2)</f>
        <v>0.85</v>
      </c>
      <c r="H534" s="2">
        <f ca="1">ROUND((IFERROR((Fuel_prices[[#This Row],[Crude_Oil_Price]]-OFFSET(Fuel_prices[[#This Row],[Crude_Oil_Price]],-1,0))/(OFFSET(Fuel_prices[[#This Row],[Crude_Oil_Price]],-1,0)),0))*100,2)</f>
        <v>0.81</v>
      </c>
      <c r="I534" s="2" t="str" cm="1">
        <f t="array" aca="1" ref="I534" ca="1">_xlfn.IFS(
    ABS(Fuel_prices[[#This Row],[%_change]])&gt;50,"SEVERE IMPACT",
    ABS(Fuel_prices[[#This Row],[%_change]])&gt;25,"HIGH IMPACT",
    ABS(Fuel_prices[[#This Row],[%_change]])&gt;5,"MID IMPACT",
    ABS(Fuel_prices[[#This Row],[%_change]])&lt;=5,"LITTLE IMPACT"
)</f>
        <v>LITTLE IMPACT</v>
      </c>
    </row>
    <row r="535" spans="1:9" x14ac:dyDescent="0.25">
      <c r="A535" s="4">
        <v>41791</v>
      </c>
      <c r="B535" s="6" t="str">
        <f>_xlfn.CONCAT("Q",CEILING(Fuel_prices[[#This Row],[Month]]/3,1))</f>
        <v>Q2</v>
      </c>
      <c r="C535" s="6">
        <f>MONTH(Fuel_prices[[#This Row],[Date]])</f>
        <v>6</v>
      </c>
      <c r="D535" s="6" t="str">
        <f>TEXT(Fuel_prices[[#This Row],[Date]],"mmm")</f>
        <v>Jun</v>
      </c>
      <c r="E535" s="6">
        <f>YEAR(Fuel_prices[[#This Row],[Date]])</f>
        <v>2014</v>
      </c>
      <c r="F535" s="5">
        <v>108.37333333333</v>
      </c>
      <c r="G535" s="2">
        <f ca="1">ROUND(IFERROR((Fuel_prices[[#This Row],[Crude_Oil_Price]]-OFFSET(Fuel_prices[[#This Row],[Crude_Oil_Price]],-1,0)),0),2)</f>
        <v>2.66</v>
      </c>
      <c r="H535" s="2">
        <f ca="1">ROUND((IFERROR((Fuel_prices[[#This Row],[Crude_Oil_Price]]-OFFSET(Fuel_prices[[#This Row],[Crude_Oil_Price]],-1,0))/(OFFSET(Fuel_prices[[#This Row],[Crude_Oil_Price]],-1,0)),0))*100,2)</f>
        <v>2.52</v>
      </c>
      <c r="I535" s="2" t="str" cm="1">
        <f t="array" aca="1" ref="I535" ca="1">_xlfn.IFS(
    ABS(Fuel_prices[[#This Row],[%_change]])&gt;50,"SEVERE IMPACT",
    ABS(Fuel_prices[[#This Row],[%_change]])&gt;25,"HIGH IMPACT",
    ABS(Fuel_prices[[#This Row],[%_change]])&gt;5,"MID IMPACT",
    ABS(Fuel_prices[[#This Row],[%_change]])&lt;=5,"LITTLE IMPACT"
)</f>
        <v>LITTLE IMPACT</v>
      </c>
    </row>
    <row r="536" spans="1:9" x14ac:dyDescent="0.25">
      <c r="A536" s="4">
        <v>41821</v>
      </c>
      <c r="B536" s="6" t="str">
        <f>_xlfn.CONCAT("Q",CEILING(Fuel_prices[[#This Row],[Month]]/3,1))</f>
        <v>Q3</v>
      </c>
      <c r="C536" s="6">
        <f>MONTH(Fuel_prices[[#This Row],[Date]])</f>
        <v>7</v>
      </c>
      <c r="D536" s="6" t="str">
        <f>TEXT(Fuel_prices[[#This Row],[Date]],"mmm")</f>
        <v>Jul</v>
      </c>
      <c r="E536" s="6">
        <f>YEAR(Fuel_prices[[#This Row],[Date]])</f>
        <v>2014</v>
      </c>
      <c r="F536" s="5">
        <v>105.22666666667</v>
      </c>
      <c r="G536" s="2">
        <f ca="1">ROUND(IFERROR((Fuel_prices[[#This Row],[Crude_Oil_Price]]-OFFSET(Fuel_prices[[#This Row],[Crude_Oil_Price]],-1,0)),0),2)</f>
        <v>-3.15</v>
      </c>
      <c r="H536" s="2">
        <f ca="1">ROUND((IFERROR((Fuel_prices[[#This Row],[Crude_Oil_Price]]-OFFSET(Fuel_prices[[#This Row],[Crude_Oil_Price]],-1,0))/(OFFSET(Fuel_prices[[#This Row],[Crude_Oil_Price]],-1,0)),0))*100,2)</f>
        <v>-2.9</v>
      </c>
      <c r="I536" s="2" t="str" cm="1">
        <f t="array" aca="1" ref="I536" ca="1">_xlfn.IFS(
    ABS(Fuel_prices[[#This Row],[%_change]])&gt;50,"SEVERE IMPACT",
    ABS(Fuel_prices[[#This Row],[%_change]])&gt;25,"HIGH IMPACT",
    ABS(Fuel_prices[[#This Row],[%_change]])&gt;5,"MID IMPACT",
    ABS(Fuel_prices[[#This Row],[%_change]])&lt;=5,"LITTLE IMPACT"
)</f>
        <v>LITTLE IMPACT</v>
      </c>
    </row>
    <row r="537" spans="1:9" x14ac:dyDescent="0.25">
      <c r="A537" s="4">
        <v>41852</v>
      </c>
      <c r="B537" s="6" t="str">
        <f>_xlfn.CONCAT("Q",CEILING(Fuel_prices[[#This Row],[Month]]/3,1))</f>
        <v>Q3</v>
      </c>
      <c r="C537" s="6">
        <f>MONTH(Fuel_prices[[#This Row],[Date]])</f>
        <v>8</v>
      </c>
      <c r="D537" s="6" t="str">
        <f>TEXT(Fuel_prices[[#This Row],[Date]],"mmm")</f>
        <v>Aug</v>
      </c>
      <c r="E537" s="6">
        <f>YEAR(Fuel_prices[[#This Row],[Date]])</f>
        <v>2014</v>
      </c>
      <c r="F537" s="5">
        <v>100.05</v>
      </c>
      <c r="G537" s="2">
        <f ca="1">ROUND(IFERROR((Fuel_prices[[#This Row],[Crude_Oil_Price]]-OFFSET(Fuel_prices[[#This Row],[Crude_Oil_Price]],-1,0)),0),2)</f>
        <v>-5.18</v>
      </c>
      <c r="H537" s="2">
        <f ca="1">ROUND((IFERROR((Fuel_prices[[#This Row],[Crude_Oil_Price]]-OFFSET(Fuel_prices[[#This Row],[Crude_Oil_Price]],-1,0))/(OFFSET(Fuel_prices[[#This Row],[Crude_Oil_Price]],-1,0)),0))*100,2)</f>
        <v>-4.92</v>
      </c>
      <c r="I537" s="2" t="str" cm="1">
        <f t="array" aca="1" ref="I537" ca="1">_xlfn.IFS(
    ABS(Fuel_prices[[#This Row],[%_change]])&gt;50,"SEVERE IMPACT",
    ABS(Fuel_prices[[#This Row],[%_change]])&gt;25,"HIGH IMPACT",
    ABS(Fuel_prices[[#This Row],[%_change]])&gt;5,"MID IMPACT",
    ABS(Fuel_prices[[#This Row],[%_change]])&lt;=5,"LITTLE IMPACT"
)</f>
        <v>LITTLE IMPACT</v>
      </c>
    </row>
    <row r="538" spans="1:9" x14ac:dyDescent="0.25">
      <c r="A538" s="4">
        <v>41883</v>
      </c>
      <c r="B538" s="6" t="str">
        <f>_xlfn.CONCAT("Q",CEILING(Fuel_prices[[#This Row],[Month]]/3,1))</f>
        <v>Q3</v>
      </c>
      <c r="C538" s="6">
        <f>MONTH(Fuel_prices[[#This Row],[Date]])</f>
        <v>9</v>
      </c>
      <c r="D538" s="6" t="str">
        <f>TEXT(Fuel_prices[[#This Row],[Date]],"mmm")</f>
        <v>Sep</v>
      </c>
      <c r="E538" s="6">
        <f>YEAR(Fuel_prices[[#This Row],[Date]])</f>
        <v>2014</v>
      </c>
      <c r="F538" s="5">
        <v>95.85</v>
      </c>
      <c r="G538" s="2">
        <f ca="1">ROUND(IFERROR((Fuel_prices[[#This Row],[Crude_Oil_Price]]-OFFSET(Fuel_prices[[#This Row],[Crude_Oil_Price]],-1,0)),0),2)</f>
        <v>-4.2</v>
      </c>
      <c r="H538" s="2">
        <f ca="1">ROUND((IFERROR((Fuel_prices[[#This Row],[Crude_Oil_Price]]-OFFSET(Fuel_prices[[#This Row],[Crude_Oil_Price]],-1,0))/(OFFSET(Fuel_prices[[#This Row],[Crude_Oil_Price]],-1,0)),0))*100,2)</f>
        <v>-4.2</v>
      </c>
      <c r="I538" s="2" t="str" cm="1">
        <f t="array" aca="1" ref="I538" ca="1">_xlfn.IFS(
    ABS(Fuel_prices[[#This Row],[%_change]])&gt;50,"SEVERE IMPACT",
    ABS(Fuel_prices[[#This Row],[%_change]])&gt;25,"HIGH IMPACT",
    ABS(Fuel_prices[[#This Row],[%_change]])&gt;5,"MID IMPACT",
    ABS(Fuel_prices[[#This Row],[%_change]])&lt;=5,"LITTLE IMPACT"
)</f>
        <v>LITTLE IMPACT</v>
      </c>
    </row>
    <row r="539" spans="1:9" x14ac:dyDescent="0.25">
      <c r="A539" s="4">
        <v>41913</v>
      </c>
      <c r="B539" s="6" t="str">
        <f>_xlfn.CONCAT("Q",CEILING(Fuel_prices[[#This Row],[Month]]/3,1))</f>
        <v>Q4</v>
      </c>
      <c r="C539" s="6">
        <f>MONTH(Fuel_prices[[#This Row],[Date]])</f>
        <v>10</v>
      </c>
      <c r="D539" s="6" t="str">
        <f>TEXT(Fuel_prices[[#This Row],[Date]],"mmm")</f>
        <v>Oct</v>
      </c>
      <c r="E539" s="6">
        <f>YEAR(Fuel_prices[[#This Row],[Date]])</f>
        <v>2014</v>
      </c>
      <c r="F539" s="5">
        <v>86.08</v>
      </c>
      <c r="G539" s="2">
        <f ca="1">ROUND(IFERROR((Fuel_prices[[#This Row],[Crude_Oil_Price]]-OFFSET(Fuel_prices[[#This Row],[Crude_Oil_Price]],-1,0)),0),2)</f>
        <v>-9.77</v>
      </c>
      <c r="H539" s="2">
        <f ca="1">ROUND((IFERROR((Fuel_prices[[#This Row],[Crude_Oil_Price]]-OFFSET(Fuel_prices[[#This Row],[Crude_Oil_Price]],-1,0))/(OFFSET(Fuel_prices[[#This Row],[Crude_Oil_Price]],-1,0)),0))*100,2)</f>
        <v>-10.19</v>
      </c>
      <c r="I539" s="2" t="str" cm="1">
        <f t="array" aca="1" ref="I539" ca="1">_xlfn.IFS(
    ABS(Fuel_prices[[#This Row],[%_change]])&gt;50,"SEVERE IMPACT",
    ABS(Fuel_prices[[#This Row],[%_change]])&gt;25,"HIGH IMPACT",
    ABS(Fuel_prices[[#This Row],[%_change]])&gt;5,"MID IMPACT",
    ABS(Fuel_prices[[#This Row],[%_change]])&lt;=5,"LITTLE IMPACT"
)</f>
        <v>MID IMPACT</v>
      </c>
    </row>
    <row r="540" spans="1:9" x14ac:dyDescent="0.25">
      <c r="A540" s="4">
        <v>41944</v>
      </c>
      <c r="B540" s="6" t="str">
        <f>_xlfn.CONCAT("Q",CEILING(Fuel_prices[[#This Row],[Month]]/3,1))</f>
        <v>Q4</v>
      </c>
      <c r="C540" s="6">
        <f>MONTH(Fuel_prices[[#This Row],[Date]])</f>
        <v>11</v>
      </c>
      <c r="D540" s="6" t="str">
        <f>TEXT(Fuel_prices[[#This Row],[Date]],"mmm")</f>
        <v>Nov</v>
      </c>
      <c r="E540" s="6">
        <f>YEAR(Fuel_prices[[#This Row],[Date]])</f>
        <v>2014</v>
      </c>
      <c r="F540" s="5">
        <v>76.99333333333</v>
      </c>
      <c r="G540" s="2">
        <f ca="1">ROUND(IFERROR((Fuel_prices[[#This Row],[Crude_Oil_Price]]-OFFSET(Fuel_prices[[#This Row],[Crude_Oil_Price]],-1,0)),0),2)</f>
        <v>-9.09</v>
      </c>
      <c r="H540" s="2">
        <f ca="1">ROUND((IFERROR((Fuel_prices[[#This Row],[Crude_Oil_Price]]-OFFSET(Fuel_prices[[#This Row],[Crude_Oil_Price]],-1,0))/(OFFSET(Fuel_prices[[#This Row],[Crude_Oil_Price]],-1,0)),0))*100,2)</f>
        <v>-10.56</v>
      </c>
      <c r="I540" s="2" t="str" cm="1">
        <f t="array" aca="1" ref="I540" ca="1">_xlfn.IFS(
    ABS(Fuel_prices[[#This Row],[%_change]])&gt;50,"SEVERE IMPACT",
    ABS(Fuel_prices[[#This Row],[%_change]])&gt;25,"HIGH IMPACT",
    ABS(Fuel_prices[[#This Row],[%_change]])&gt;5,"MID IMPACT",
    ABS(Fuel_prices[[#This Row],[%_change]])&lt;=5,"LITTLE IMPACT"
)</f>
        <v>MID IMPACT</v>
      </c>
    </row>
    <row r="541" spans="1:9" x14ac:dyDescent="0.25">
      <c r="A541" s="4">
        <v>41974</v>
      </c>
      <c r="B541" s="6" t="str">
        <f>_xlfn.CONCAT("Q",CEILING(Fuel_prices[[#This Row],[Month]]/3,1))</f>
        <v>Q4</v>
      </c>
      <c r="C541" s="6">
        <f>MONTH(Fuel_prices[[#This Row],[Date]])</f>
        <v>12</v>
      </c>
      <c r="D541" s="6" t="str">
        <f>TEXT(Fuel_prices[[#This Row],[Date]],"mmm")</f>
        <v>Dec</v>
      </c>
      <c r="E541" s="6">
        <f>YEAR(Fuel_prices[[#This Row],[Date]])</f>
        <v>2014</v>
      </c>
      <c r="F541" s="5">
        <v>60.703333333330001</v>
      </c>
      <c r="G541" s="2">
        <f ca="1">ROUND(IFERROR((Fuel_prices[[#This Row],[Crude_Oil_Price]]-OFFSET(Fuel_prices[[#This Row],[Crude_Oil_Price]],-1,0)),0),2)</f>
        <v>-16.29</v>
      </c>
      <c r="H541" s="2">
        <f ca="1">ROUND((IFERROR((Fuel_prices[[#This Row],[Crude_Oil_Price]]-OFFSET(Fuel_prices[[#This Row],[Crude_Oil_Price]],-1,0))/(OFFSET(Fuel_prices[[#This Row],[Crude_Oil_Price]],-1,0)),0))*100,2)</f>
        <v>-21.16</v>
      </c>
      <c r="I541" s="2" t="str" cm="1">
        <f t="array" aca="1" ref="I541" ca="1">_xlfn.IFS(
    ABS(Fuel_prices[[#This Row],[%_change]])&gt;50,"SEVERE IMPACT",
    ABS(Fuel_prices[[#This Row],[%_change]])&gt;25,"HIGH IMPACT",
    ABS(Fuel_prices[[#This Row],[%_change]])&gt;5,"MID IMPACT",
    ABS(Fuel_prices[[#This Row],[%_change]])&lt;=5,"LITTLE IMPACT"
)</f>
        <v>MID IMPACT</v>
      </c>
    </row>
    <row r="542" spans="1:9" x14ac:dyDescent="0.25">
      <c r="A542" s="4">
        <v>42005</v>
      </c>
      <c r="B542" s="6" t="str">
        <f>_xlfn.CONCAT("Q",CEILING(Fuel_prices[[#This Row],[Month]]/3,1))</f>
        <v>Q1</v>
      </c>
      <c r="C542" s="6">
        <f>MONTH(Fuel_prices[[#This Row],[Date]])</f>
        <v>1</v>
      </c>
      <c r="D542" s="6" t="str">
        <f>TEXT(Fuel_prices[[#This Row],[Date]],"mmm")</f>
        <v>Jan</v>
      </c>
      <c r="E542" s="6">
        <f>YEAR(Fuel_prices[[#This Row],[Date]])</f>
        <v>2015</v>
      </c>
      <c r="F542" s="5">
        <v>47.106666666670002</v>
      </c>
      <c r="G542" s="2">
        <f ca="1">ROUND(IFERROR((Fuel_prices[[#This Row],[Crude_Oil_Price]]-OFFSET(Fuel_prices[[#This Row],[Crude_Oil_Price]],-1,0)),0),2)</f>
        <v>-13.6</v>
      </c>
      <c r="H542" s="2">
        <f ca="1">ROUND((IFERROR((Fuel_prices[[#This Row],[Crude_Oil_Price]]-OFFSET(Fuel_prices[[#This Row],[Crude_Oil_Price]],-1,0))/(OFFSET(Fuel_prices[[#This Row],[Crude_Oil_Price]],-1,0)),0))*100,2)</f>
        <v>-22.4</v>
      </c>
      <c r="I542" s="2" t="str" cm="1">
        <f t="array" aca="1" ref="I542" ca="1">_xlfn.IFS(
    ABS(Fuel_prices[[#This Row],[%_change]])&gt;50,"SEVERE IMPACT",
    ABS(Fuel_prices[[#This Row],[%_change]])&gt;25,"HIGH IMPACT",
    ABS(Fuel_prices[[#This Row],[%_change]])&gt;5,"MID IMPACT",
    ABS(Fuel_prices[[#This Row],[%_change]])&lt;=5,"LITTLE IMPACT"
)</f>
        <v>MID IMPACT</v>
      </c>
    </row>
    <row r="543" spans="1:9" x14ac:dyDescent="0.25">
      <c r="A543" s="4">
        <v>42036</v>
      </c>
      <c r="B543" s="6" t="str">
        <f>_xlfn.CONCAT("Q",CEILING(Fuel_prices[[#This Row],[Month]]/3,1))</f>
        <v>Q1</v>
      </c>
      <c r="C543" s="6">
        <f>MONTH(Fuel_prices[[#This Row],[Date]])</f>
        <v>2</v>
      </c>
      <c r="D543" s="6" t="str">
        <f>TEXT(Fuel_prices[[#This Row],[Date]],"mmm")</f>
        <v>Feb</v>
      </c>
      <c r="E543" s="6">
        <f>YEAR(Fuel_prices[[#This Row],[Date]])</f>
        <v>2015</v>
      </c>
      <c r="F543" s="5">
        <v>54.79</v>
      </c>
      <c r="G543" s="2">
        <f ca="1">ROUND(IFERROR((Fuel_prices[[#This Row],[Crude_Oil_Price]]-OFFSET(Fuel_prices[[#This Row],[Crude_Oil_Price]],-1,0)),0),2)</f>
        <v>7.68</v>
      </c>
      <c r="H543" s="2">
        <f ca="1">ROUND((IFERROR((Fuel_prices[[#This Row],[Crude_Oil_Price]]-OFFSET(Fuel_prices[[#This Row],[Crude_Oil_Price]],-1,0))/(OFFSET(Fuel_prices[[#This Row],[Crude_Oil_Price]],-1,0)),0))*100,2)</f>
        <v>16.309999999999999</v>
      </c>
      <c r="I543" s="2" t="str" cm="1">
        <f t="array" aca="1" ref="I543" ca="1">_xlfn.IFS(
    ABS(Fuel_prices[[#This Row],[%_change]])&gt;50,"SEVERE IMPACT",
    ABS(Fuel_prices[[#This Row],[%_change]])&gt;25,"HIGH IMPACT",
    ABS(Fuel_prices[[#This Row],[%_change]])&gt;5,"MID IMPACT",
    ABS(Fuel_prices[[#This Row],[%_change]])&lt;=5,"LITTLE IMPACT"
)</f>
        <v>MID IMPACT</v>
      </c>
    </row>
    <row r="544" spans="1:9" x14ac:dyDescent="0.25">
      <c r="A544" s="4">
        <v>42064</v>
      </c>
      <c r="B544" s="6" t="str">
        <f>_xlfn.CONCAT("Q",CEILING(Fuel_prices[[#This Row],[Month]]/3,1))</f>
        <v>Q1</v>
      </c>
      <c r="C544" s="6">
        <f>MONTH(Fuel_prices[[#This Row],[Date]])</f>
        <v>3</v>
      </c>
      <c r="D544" s="6" t="str">
        <f>TEXT(Fuel_prices[[#This Row],[Date]],"mmm")</f>
        <v>Mar</v>
      </c>
      <c r="E544" s="6">
        <f>YEAR(Fuel_prices[[#This Row],[Date]])</f>
        <v>2015</v>
      </c>
      <c r="F544" s="5">
        <v>52.82666666667</v>
      </c>
      <c r="G544" s="2">
        <f ca="1">ROUND(IFERROR((Fuel_prices[[#This Row],[Crude_Oil_Price]]-OFFSET(Fuel_prices[[#This Row],[Crude_Oil_Price]],-1,0)),0),2)</f>
        <v>-1.96</v>
      </c>
      <c r="H544" s="2">
        <f ca="1">ROUND((IFERROR((Fuel_prices[[#This Row],[Crude_Oil_Price]]-OFFSET(Fuel_prices[[#This Row],[Crude_Oil_Price]],-1,0))/(OFFSET(Fuel_prices[[#This Row],[Crude_Oil_Price]],-1,0)),0))*100,2)</f>
        <v>-3.58</v>
      </c>
      <c r="I544" s="2" t="str" cm="1">
        <f t="array" aca="1" ref="I544" ca="1">_xlfn.IFS(
    ABS(Fuel_prices[[#This Row],[%_change]])&gt;50,"SEVERE IMPACT",
    ABS(Fuel_prices[[#This Row],[%_change]])&gt;25,"HIGH IMPACT",
    ABS(Fuel_prices[[#This Row],[%_change]])&gt;5,"MID IMPACT",
    ABS(Fuel_prices[[#This Row],[%_change]])&lt;=5,"LITTLE IMPACT"
)</f>
        <v>LITTLE IMPACT</v>
      </c>
    </row>
    <row r="545" spans="1:9" x14ac:dyDescent="0.25">
      <c r="A545" s="4">
        <v>42095</v>
      </c>
      <c r="B545" s="6" t="str">
        <f>_xlfn.CONCAT("Q",CEILING(Fuel_prices[[#This Row],[Month]]/3,1))</f>
        <v>Q2</v>
      </c>
      <c r="C545" s="6">
        <f>MONTH(Fuel_prices[[#This Row],[Date]])</f>
        <v>4</v>
      </c>
      <c r="D545" s="6" t="str">
        <f>TEXT(Fuel_prices[[#This Row],[Date]],"mmm")</f>
        <v>Apr</v>
      </c>
      <c r="E545" s="6">
        <f>YEAR(Fuel_prices[[#This Row],[Date]])</f>
        <v>2015</v>
      </c>
      <c r="F545" s="5">
        <v>57.543333333329997</v>
      </c>
      <c r="G545" s="2">
        <f ca="1">ROUND(IFERROR((Fuel_prices[[#This Row],[Crude_Oil_Price]]-OFFSET(Fuel_prices[[#This Row],[Crude_Oil_Price]],-1,0)),0),2)</f>
        <v>4.72</v>
      </c>
      <c r="H545" s="2">
        <f ca="1">ROUND((IFERROR((Fuel_prices[[#This Row],[Crude_Oil_Price]]-OFFSET(Fuel_prices[[#This Row],[Crude_Oil_Price]],-1,0))/(OFFSET(Fuel_prices[[#This Row],[Crude_Oil_Price]],-1,0)),0))*100,2)</f>
        <v>8.93</v>
      </c>
      <c r="I545" s="2" t="str" cm="1">
        <f t="array" aca="1" ref="I545" ca="1">_xlfn.IFS(
    ABS(Fuel_prices[[#This Row],[%_change]])&gt;50,"SEVERE IMPACT",
    ABS(Fuel_prices[[#This Row],[%_change]])&gt;25,"HIGH IMPACT",
    ABS(Fuel_prices[[#This Row],[%_change]])&gt;5,"MID IMPACT",
    ABS(Fuel_prices[[#This Row],[%_change]])&lt;=5,"LITTLE IMPACT"
)</f>
        <v>MID IMPACT</v>
      </c>
    </row>
    <row r="546" spans="1:9" x14ac:dyDescent="0.25">
      <c r="A546" s="4">
        <v>42125</v>
      </c>
      <c r="B546" s="6" t="str">
        <f>_xlfn.CONCAT("Q",CEILING(Fuel_prices[[#This Row],[Month]]/3,1))</f>
        <v>Q2</v>
      </c>
      <c r="C546" s="6">
        <f>MONTH(Fuel_prices[[#This Row],[Date]])</f>
        <v>5</v>
      </c>
      <c r="D546" s="6" t="str">
        <f>TEXT(Fuel_prices[[#This Row],[Date]],"mmm")</f>
        <v>May</v>
      </c>
      <c r="E546" s="6">
        <f>YEAR(Fuel_prices[[#This Row],[Date]])</f>
        <v>2015</v>
      </c>
      <c r="F546" s="5">
        <v>62.50666666667</v>
      </c>
      <c r="G546" s="2">
        <f ca="1">ROUND(IFERROR((Fuel_prices[[#This Row],[Crude_Oil_Price]]-OFFSET(Fuel_prices[[#This Row],[Crude_Oil_Price]],-1,0)),0),2)</f>
        <v>4.96</v>
      </c>
      <c r="H546" s="2">
        <f ca="1">ROUND((IFERROR((Fuel_prices[[#This Row],[Crude_Oil_Price]]-OFFSET(Fuel_prices[[#This Row],[Crude_Oil_Price]],-1,0))/(OFFSET(Fuel_prices[[#This Row],[Crude_Oil_Price]],-1,0)),0))*100,2)</f>
        <v>8.6300000000000008</v>
      </c>
      <c r="I546" s="2" t="str" cm="1">
        <f t="array" aca="1" ref="I546" ca="1">_xlfn.IFS(
    ABS(Fuel_prices[[#This Row],[%_change]])&gt;50,"SEVERE IMPACT",
    ABS(Fuel_prices[[#This Row],[%_change]])&gt;25,"HIGH IMPACT",
    ABS(Fuel_prices[[#This Row],[%_change]])&gt;5,"MID IMPACT",
    ABS(Fuel_prices[[#This Row],[%_change]])&lt;=5,"LITTLE IMPACT"
)</f>
        <v>MID IMPACT</v>
      </c>
    </row>
    <row r="547" spans="1:9" x14ac:dyDescent="0.25">
      <c r="A547" s="4">
        <v>42156</v>
      </c>
      <c r="B547" s="6" t="str">
        <f>_xlfn.CONCAT("Q",CEILING(Fuel_prices[[#This Row],[Month]]/3,1))</f>
        <v>Q2</v>
      </c>
      <c r="C547" s="6">
        <f>MONTH(Fuel_prices[[#This Row],[Date]])</f>
        <v>6</v>
      </c>
      <c r="D547" s="6" t="str">
        <f>TEXT(Fuel_prices[[#This Row],[Date]],"mmm")</f>
        <v>Jun</v>
      </c>
      <c r="E547" s="6">
        <f>YEAR(Fuel_prices[[#This Row],[Date]])</f>
        <v>2015</v>
      </c>
      <c r="F547" s="5">
        <v>61.306666666669997</v>
      </c>
      <c r="G547" s="2">
        <f ca="1">ROUND(IFERROR((Fuel_prices[[#This Row],[Crude_Oil_Price]]-OFFSET(Fuel_prices[[#This Row],[Crude_Oil_Price]],-1,0)),0),2)</f>
        <v>-1.2</v>
      </c>
      <c r="H547" s="2">
        <f ca="1">ROUND((IFERROR((Fuel_prices[[#This Row],[Crude_Oil_Price]]-OFFSET(Fuel_prices[[#This Row],[Crude_Oil_Price]],-1,0))/(OFFSET(Fuel_prices[[#This Row],[Crude_Oil_Price]],-1,0)),0))*100,2)</f>
        <v>-1.92</v>
      </c>
      <c r="I547" s="2" t="str" cm="1">
        <f t="array" aca="1" ref="I547" ca="1">_xlfn.IFS(
    ABS(Fuel_prices[[#This Row],[%_change]])&gt;50,"SEVERE IMPACT",
    ABS(Fuel_prices[[#This Row],[%_change]])&gt;25,"HIGH IMPACT",
    ABS(Fuel_prices[[#This Row],[%_change]])&gt;5,"MID IMPACT",
    ABS(Fuel_prices[[#This Row],[%_change]])&lt;=5,"LITTLE IMPACT"
)</f>
        <v>LITTLE IMPACT</v>
      </c>
    </row>
    <row r="548" spans="1:9" x14ac:dyDescent="0.25">
      <c r="A548" s="4">
        <v>42186</v>
      </c>
      <c r="B548" s="6" t="str">
        <f>_xlfn.CONCAT("Q",CEILING(Fuel_prices[[#This Row],[Month]]/3,1))</f>
        <v>Q3</v>
      </c>
      <c r="C548" s="6">
        <f>MONTH(Fuel_prices[[#This Row],[Date]])</f>
        <v>7</v>
      </c>
      <c r="D548" s="6" t="str">
        <f>TEXT(Fuel_prices[[#This Row],[Date]],"mmm")</f>
        <v>Jul</v>
      </c>
      <c r="E548" s="6">
        <f>YEAR(Fuel_prices[[#This Row],[Date]])</f>
        <v>2015</v>
      </c>
      <c r="F548" s="5">
        <v>54.34</v>
      </c>
      <c r="G548" s="2">
        <f ca="1">ROUND(IFERROR((Fuel_prices[[#This Row],[Crude_Oil_Price]]-OFFSET(Fuel_prices[[#This Row],[Crude_Oil_Price]],-1,0)),0),2)</f>
        <v>-6.97</v>
      </c>
      <c r="H548" s="2">
        <f ca="1">ROUND((IFERROR((Fuel_prices[[#This Row],[Crude_Oil_Price]]-OFFSET(Fuel_prices[[#This Row],[Crude_Oil_Price]],-1,0))/(OFFSET(Fuel_prices[[#This Row],[Crude_Oil_Price]],-1,0)),0))*100,2)</f>
        <v>-11.36</v>
      </c>
      <c r="I548" s="2" t="str" cm="1">
        <f t="array" aca="1" ref="I548" ca="1">_xlfn.IFS(
    ABS(Fuel_prices[[#This Row],[%_change]])&gt;50,"SEVERE IMPACT",
    ABS(Fuel_prices[[#This Row],[%_change]])&gt;25,"HIGH IMPACT",
    ABS(Fuel_prices[[#This Row],[%_change]])&gt;5,"MID IMPACT",
    ABS(Fuel_prices[[#This Row],[%_change]])&lt;=5,"LITTLE IMPACT"
)</f>
        <v>MID IMPACT</v>
      </c>
    </row>
    <row r="549" spans="1:9" x14ac:dyDescent="0.25">
      <c r="A549" s="4">
        <v>42217</v>
      </c>
      <c r="B549" s="6" t="str">
        <f>_xlfn.CONCAT("Q",CEILING(Fuel_prices[[#This Row],[Month]]/3,1))</f>
        <v>Q3</v>
      </c>
      <c r="C549" s="6">
        <f>MONTH(Fuel_prices[[#This Row],[Date]])</f>
        <v>8</v>
      </c>
      <c r="D549" s="6" t="str">
        <f>TEXT(Fuel_prices[[#This Row],[Date]],"mmm")</f>
        <v>Aug</v>
      </c>
      <c r="E549" s="6">
        <f>YEAR(Fuel_prices[[#This Row],[Date]])</f>
        <v>2015</v>
      </c>
      <c r="F549" s="5">
        <v>45.69</v>
      </c>
      <c r="G549" s="2">
        <f ca="1">ROUND(IFERROR((Fuel_prices[[#This Row],[Crude_Oil_Price]]-OFFSET(Fuel_prices[[#This Row],[Crude_Oil_Price]],-1,0)),0),2)</f>
        <v>-8.65</v>
      </c>
      <c r="H549" s="2">
        <f ca="1">ROUND((IFERROR((Fuel_prices[[#This Row],[Crude_Oil_Price]]-OFFSET(Fuel_prices[[#This Row],[Crude_Oil_Price]],-1,0))/(OFFSET(Fuel_prices[[#This Row],[Crude_Oil_Price]],-1,0)),0))*100,2)</f>
        <v>-15.92</v>
      </c>
      <c r="I549" s="2" t="str" cm="1">
        <f t="array" aca="1" ref="I549" ca="1">_xlfn.IFS(
    ABS(Fuel_prices[[#This Row],[%_change]])&gt;50,"SEVERE IMPACT",
    ABS(Fuel_prices[[#This Row],[%_change]])&gt;25,"HIGH IMPACT",
    ABS(Fuel_prices[[#This Row],[%_change]])&gt;5,"MID IMPACT",
    ABS(Fuel_prices[[#This Row],[%_change]])&lt;=5,"LITTLE IMPACT"
)</f>
        <v>MID IMPACT</v>
      </c>
    </row>
    <row r="550" spans="1:9" x14ac:dyDescent="0.25">
      <c r="A550" s="4">
        <v>42248</v>
      </c>
      <c r="B550" s="6" t="str">
        <f>_xlfn.CONCAT("Q",CEILING(Fuel_prices[[#This Row],[Month]]/3,1))</f>
        <v>Q3</v>
      </c>
      <c r="C550" s="6">
        <f>MONTH(Fuel_prices[[#This Row],[Date]])</f>
        <v>9</v>
      </c>
      <c r="D550" s="6" t="str">
        <f>TEXT(Fuel_prices[[#This Row],[Date]],"mmm")</f>
        <v>Sep</v>
      </c>
      <c r="E550" s="6">
        <f>YEAR(Fuel_prices[[#This Row],[Date]])</f>
        <v>2015</v>
      </c>
      <c r="F550" s="5">
        <v>46.28</v>
      </c>
      <c r="G550" s="2">
        <f ca="1">ROUND(IFERROR((Fuel_prices[[#This Row],[Crude_Oil_Price]]-OFFSET(Fuel_prices[[#This Row],[Crude_Oil_Price]],-1,0)),0),2)</f>
        <v>0.59</v>
      </c>
      <c r="H550" s="2">
        <f ca="1">ROUND((IFERROR((Fuel_prices[[#This Row],[Crude_Oil_Price]]-OFFSET(Fuel_prices[[#This Row],[Crude_Oil_Price]],-1,0))/(OFFSET(Fuel_prices[[#This Row],[Crude_Oil_Price]],-1,0)),0))*100,2)</f>
        <v>1.29</v>
      </c>
      <c r="I550" s="2" t="str" cm="1">
        <f t="array" aca="1" ref="I550" ca="1">_xlfn.IFS(
    ABS(Fuel_prices[[#This Row],[%_change]])&gt;50,"SEVERE IMPACT",
    ABS(Fuel_prices[[#This Row],[%_change]])&gt;25,"HIGH IMPACT",
    ABS(Fuel_prices[[#This Row],[%_change]])&gt;5,"MID IMPACT",
    ABS(Fuel_prices[[#This Row],[%_change]])&lt;=5,"LITTLE IMPACT"
)</f>
        <v>LITTLE IMPACT</v>
      </c>
    </row>
    <row r="551" spans="1:9" x14ac:dyDescent="0.25">
      <c r="A551" s="4">
        <v>42278</v>
      </c>
      <c r="B551" s="6" t="str">
        <f>_xlfn.CONCAT("Q",CEILING(Fuel_prices[[#This Row],[Month]]/3,1))</f>
        <v>Q4</v>
      </c>
      <c r="C551" s="6">
        <f>MONTH(Fuel_prices[[#This Row],[Date]])</f>
        <v>10</v>
      </c>
      <c r="D551" s="6" t="str">
        <f>TEXT(Fuel_prices[[#This Row],[Date]],"mmm")</f>
        <v>Oct</v>
      </c>
      <c r="E551" s="6">
        <f>YEAR(Fuel_prices[[#This Row],[Date]])</f>
        <v>2015</v>
      </c>
      <c r="F551" s="5">
        <v>46.956666666670003</v>
      </c>
      <c r="G551" s="2">
        <f ca="1">ROUND(IFERROR((Fuel_prices[[#This Row],[Crude_Oil_Price]]-OFFSET(Fuel_prices[[#This Row],[Crude_Oil_Price]],-1,0)),0),2)</f>
        <v>0.68</v>
      </c>
      <c r="H551" s="2">
        <f ca="1">ROUND((IFERROR((Fuel_prices[[#This Row],[Crude_Oil_Price]]-OFFSET(Fuel_prices[[#This Row],[Crude_Oil_Price]],-1,0))/(OFFSET(Fuel_prices[[#This Row],[Crude_Oil_Price]],-1,0)),0))*100,2)</f>
        <v>1.46</v>
      </c>
      <c r="I551" s="2" t="str" cm="1">
        <f t="array" aca="1" ref="I551" ca="1">_xlfn.IFS(
    ABS(Fuel_prices[[#This Row],[%_change]])&gt;50,"SEVERE IMPACT",
    ABS(Fuel_prices[[#This Row],[%_change]])&gt;25,"HIGH IMPACT",
    ABS(Fuel_prices[[#This Row],[%_change]])&gt;5,"MID IMPACT",
    ABS(Fuel_prices[[#This Row],[%_change]])&lt;=5,"LITTLE IMPACT"
)</f>
        <v>LITTLE IMPACT</v>
      </c>
    </row>
    <row r="552" spans="1:9" x14ac:dyDescent="0.25">
      <c r="A552" s="4">
        <v>42309</v>
      </c>
      <c r="B552" s="6" t="str">
        <f>_xlfn.CONCAT("Q",CEILING(Fuel_prices[[#This Row],[Month]]/3,1))</f>
        <v>Q4</v>
      </c>
      <c r="C552" s="6">
        <f>MONTH(Fuel_prices[[#This Row],[Date]])</f>
        <v>11</v>
      </c>
      <c r="D552" s="6" t="str">
        <f>TEXT(Fuel_prices[[#This Row],[Date]],"mmm")</f>
        <v>Nov</v>
      </c>
      <c r="E552" s="6">
        <f>YEAR(Fuel_prices[[#This Row],[Date]])</f>
        <v>2015</v>
      </c>
      <c r="F552" s="5">
        <v>43.113333333329997</v>
      </c>
      <c r="G552" s="2">
        <f ca="1">ROUND(IFERROR((Fuel_prices[[#This Row],[Crude_Oil_Price]]-OFFSET(Fuel_prices[[#This Row],[Crude_Oil_Price]],-1,0)),0),2)</f>
        <v>-3.84</v>
      </c>
      <c r="H552" s="2">
        <f ca="1">ROUND((IFERROR((Fuel_prices[[#This Row],[Crude_Oil_Price]]-OFFSET(Fuel_prices[[#This Row],[Crude_Oil_Price]],-1,0))/(OFFSET(Fuel_prices[[#This Row],[Crude_Oil_Price]],-1,0)),0))*100,2)</f>
        <v>-8.18</v>
      </c>
      <c r="I552" s="2" t="str" cm="1">
        <f t="array" aca="1" ref="I552" ca="1">_xlfn.IFS(
    ABS(Fuel_prices[[#This Row],[%_change]])&gt;50,"SEVERE IMPACT",
    ABS(Fuel_prices[[#This Row],[%_change]])&gt;25,"HIGH IMPACT",
    ABS(Fuel_prices[[#This Row],[%_change]])&gt;5,"MID IMPACT",
    ABS(Fuel_prices[[#This Row],[%_change]])&lt;=5,"LITTLE IMPACT"
)</f>
        <v>MID IMPACT</v>
      </c>
    </row>
    <row r="553" spans="1:9" x14ac:dyDescent="0.25">
      <c r="A553" s="4">
        <v>42339</v>
      </c>
      <c r="B553" s="6" t="str">
        <f>_xlfn.CONCAT("Q",CEILING(Fuel_prices[[#This Row],[Month]]/3,1))</f>
        <v>Q4</v>
      </c>
      <c r="C553" s="6">
        <f>MONTH(Fuel_prices[[#This Row],[Date]])</f>
        <v>12</v>
      </c>
      <c r="D553" s="6" t="str">
        <f>TEXT(Fuel_prices[[#This Row],[Date]],"mmm")</f>
        <v>Dec</v>
      </c>
      <c r="E553" s="6">
        <f>YEAR(Fuel_prices[[#This Row],[Date]])</f>
        <v>2015</v>
      </c>
      <c r="F553" s="5">
        <v>36.573333333329998</v>
      </c>
      <c r="G553" s="2">
        <f ca="1">ROUND(IFERROR((Fuel_prices[[#This Row],[Crude_Oil_Price]]-OFFSET(Fuel_prices[[#This Row],[Crude_Oil_Price]],-1,0)),0),2)</f>
        <v>-6.54</v>
      </c>
      <c r="H553" s="2">
        <f ca="1">ROUND((IFERROR((Fuel_prices[[#This Row],[Crude_Oil_Price]]-OFFSET(Fuel_prices[[#This Row],[Crude_Oil_Price]],-1,0))/(OFFSET(Fuel_prices[[#This Row],[Crude_Oil_Price]],-1,0)),0))*100,2)</f>
        <v>-15.17</v>
      </c>
      <c r="I553" s="2" t="str" cm="1">
        <f t="array" aca="1" ref="I553" ca="1">_xlfn.IFS(
    ABS(Fuel_prices[[#This Row],[%_change]])&gt;50,"SEVERE IMPACT",
    ABS(Fuel_prices[[#This Row],[%_change]])&gt;25,"HIGH IMPACT",
    ABS(Fuel_prices[[#This Row],[%_change]])&gt;5,"MID IMPACT",
    ABS(Fuel_prices[[#This Row],[%_change]])&lt;=5,"LITTLE IMPACT"
)</f>
        <v>MID IMPACT</v>
      </c>
    </row>
    <row r="554" spans="1:9" x14ac:dyDescent="0.25">
      <c r="A554" s="4">
        <v>42370</v>
      </c>
      <c r="B554" s="6" t="str">
        <f>_xlfn.CONCAT("Q",CEILING(Fuel_prices[[#This Row],[Month]]/3,1))</f>
        <v>Q1</v>
      </c>
      <c r="C554" s="6">
        <f>MONTH(Fuel_prices[[#This Row],[Date]])</f>
        <v>1</v>
      </c>
      <c r="D554" s="6" t="str">
        <f>TEXT(Fuel_prices[[#This Row],[Date]],"mmm")</f>
        <v>Jan</v>
      </c>
      <c r="E554" s="6">
        <f>YEAR(Fuel_prices[[#This Row],[Date]])</f>
        <v>2016</v>
      </c>
      <c r="F554" s="5">
        <v>29.78</v>
      </c>
      <c r="G554" s="2">
        <f ca="1">ROUND(IFERROR((Fuel_prices[[#This Row],[Crude_Oil_Price]]-OFFSET(Fuel_prices[[#This Row],[Crude_Oil_Price]],-1,0)),0),2)</f>
        <v>-6.79</v>
      </c>
      <c r="H554" s="2">
        <f ca="1">ROUND((IFERROR((Fuel_prices[[#This Row],[Crude_Oil_Price]]-OFFSET(Fuel_prices[[#This Row],[Crude_Oil_Price]],-1,0))/(OFFSET(Fuel_prices[[#This Row],[Crude_Oil_Price]],-1,0)),0))*100,2)</f>
        <v>-18.57</v>
      </c>
      <c r="I554" s="2" t="str" cm="1">
        <f t="array" aca="1" ref="I554" ca="1">_xlfn.IFS(
    ABS(Fuel_prices[[#This Row],[%_change]])&gt;50,"SEVERE IMPACT",
    ABS(Fuel_prices[[#This Row],[%_change]])&gt;25,"HIGH IMPACT",
    ABS(Fuel_prices[[#This Row],[%_change]])&gt;5,"MID IMPACT",
    ABS(Fuel_prices[[#This Row],[%_change]])&lt;=5,"LITTLE IMPACT"
)</f>
        <v>MID IMPACT</v>
      </c>
    </row>
    <row r="555" spans="1:9" x14ac:dyDescent="0.25">
      <c r="A555" s="4">
        <v>42401</v>
      </c>
      <c r="B555" s="6" t="str">
        <f>_xlfn.CONCAT("Q",CEILING(Fuel_prices[[#This Row],[Month]]/3,1))</f>
        <v>Q1</v>
      </c>
      <c r="C555" s="6">
        <f>MONTH(Fuel_prices[[#This Row],[Date]])</f>
        <v>2</v>
      </c>
      <c r="D555" s="6" t="str">
        <f>TEXT(Fuel_prices[[#This Row],[Date]],"mmm")</f>
        <v>Feb</v>
      </c>
      <c r="E555" s="6">
        <f>YEAR(Fuel_prices[[#This Row],[Date]])</f>
        <v>2016</v>
      </c>
      <c r="F555" s="5">
        <v>31.03</v>
      </c>
      <c r="G555" s="2">
        <f ca="1">ROUND(IFERROR((Fuel_prices[[#This Row],[Crude_Oil_Price]]-OFFSET(Fuel_prices[[#This Row],[Crude_Oil_Price]],-1,0)),0),2)</f>
        <v>1.25</v>
      </c>
      <c r="H555" s="2">
        <f ca="1">ROUND((IFERROR((Fuel_prices[[#This Row],[Crude_Oil_Price]]-OFFSET(Fuel_prices[[#This Row],[Crude_Oil_Price]],-1,0))/(OFFSET(Fuel_prices[[#This Row],[Crude_Oil_Price]],-1,0)),0))*100,2)</f>
        <v>4.2</v>
      </c>
      <c r="I555" s="2" t="str" cm="1">
        <f t="array" aca="1" ref="I555" ca="1">_xlfn.IFS(
    ABS(Fuel_prices[[#This Row],[%_change]])&gt;50,"SEVERE IMPACT",
    ABS(Fuel_prices[[#This Row],[%_change]])&gt;25,"HIGH IMPACT",
    ABS(Fuel_prices[[#This Row],[%_change]])&gt;5,"MID IMPACT",
    ABS(Fuel_prices[[#This Row],[%_change]])&lt;=5,"LITTLE IMPACT"
)</f>
        <v>LITTLE IMPACT</v>
      </c>
    </row>
    <row r="556" spans="1:9" x14ac:dyDescent="0.25">
      <c r="A556" s="4">
        <v>42430</v>
      </c>
      <c r="B556" s="6" t="str">
        <f>_xlfn.CONCAT("Q",CEILING(Fuel_prices[[#This Row],[Month]]/3,1))</f>
        <v>Q1</v>
      </c>
      <c r="C556" s="6">
        <f>MONTH(Fuel_prices[[#This Row],[Date]])</f>
        <v>3</v>
      </c>
      <c r="D556" s="6" t="str">
        <f>TEXT(Fuel_prices[[#This Row],[Date]],"mmm")</f>
        <v>Mar</v>
      </c>
      <c r="E556" s="6">
        <f>YEAR(Fuel_prices[[#This Row],[Date]])</f>
        <v>2016</v>
      </c>
      <c r="F556" s="5">
        <v>37.340000000000003</v>
      </c>
      <c r="G556" s="2">
        <f ca="1">ROUND(IFERROR((Fuel_prices[[#This Row],[Crude_Oil_Price]]-OFFSET(Fuel_prices[[#This Row],[Crude_Oil_Price]],-1,0)),0),2)</f>
        <v>6.31</v>
      </c>
      <c r="H556" s="2">
        <f ca="1">ROUND((IFERROR((Fuel_prices[[#This Row],[Crude_Oil_Price]]-OFFSET(Fuel_prices[[#This Row],[Crude_Oil_Price]],-1,0))/(OFFSET(Fuel_prices[[#This Row],[Crude_Oil_Price]],-1,0)),0))*100,2)</f>
        <v>20.34</v>
      </c>
      <c r="I556" s="2" t="str" cm="1">
        <f t="array" aca="1" ref="I556" ca="1">_xlfn.IFS(
    ABS(Fuel_prices[[#This Row],[%_change]])&gt;50,"SEVERE IMPACT",
    ABS(Fuel_prices[[#This Row],[%_change]])&gt;25,"HIGH IMPACT",
    ABS(Fuel_prices[[#This Row],[%_change]])&gt;5,"MID IMPACT",
    ABS(Fuel_prices[[#This Row],[%_change]])&lt;=5,"LITTLE IMPACT"
)</f>
        <v>MID IMPACT</v>
      </c>
    </row>
    <row r="557" spans="1:9" x14ac:dyDescent="0.25">
      <c r="A557" s="4">
        <v>42461</v>
      </c>
      <c r="B557" s="6" t="str">
        <f>_xlfn.CONCAT("Q",CEILING(Fuel_prices[[#This Row],[Month]]/3,1))</f>
        <v>Q2</v>
      </c>
      <c r="C557" s="6">
        <f>MONTH(Fuel_prices[[#This Row],[Date]])</f>
        <v>4</v>
      </c>
      <c r="D557" s="6" t="str">
        <f>TEXT(Fuel_prices[[#This Row],[Date]],"mmm")</f>
        <v>Apr</v>
      </c>
      <c r="E557" s="6">
        <f>YEAR(Fuel_prices[[#This Row],[Date]])</f>
        <v>2016</v>
      </c>
      <c r="F557" s="5">
        <v>40.75</v>
      </c>
      <c r="G557" s="2">
        <f ca="1">ROUND(IFERROR((Fuel_prices[[#This Row],[Crude_Oil_Price]]-OFFSET(Fuel_prices[[#This Row],[Crude_Oil_Price]],-1,0)),0),2)</f>
        <v>3.41</v>
      </c>
      <c r="H557" s="2">
        <f ca="1">ROUND((IFERROR((Fuel_prices[[#This Row],[Crude_Oil_Price]]-OFFSET(Fuel_prices[[#This Row],[Crude_Oil_Price]],-1,0))/(OFFSET(Fuel_prices[[#This Row],[Crude_Oil_Price]],-1,0)),0))*100,2)</f>
        <v>9.1300000000000008</v>
      </c>
      <c r="I557" s="2" t="str" cm="1">
        <f t="array" aca="1" ref="I557" ca="1">_xlfn.IFS(
    ABS(Fuel_prices[[#This Row],[%_change]])&gt;50,"SEVERE IMPACT",
    ABS(Fuel_prices[[#This Row],[%_change]])&gt;25,"HIGH IMPACT",
    ABS(Fuel_prices[[#This Row],[%_change]])&gt;5,"MID IMPACT",
    ABS(Fuel_prices[[#This Row],[%_change]])&lt;=5,"LITTLE IMPACT"
)</f>
        <v>MID IMPACT</v>
      </c>
    </row>
    <row r="558" spans="1:9" x14ac:dyDescent="0.25">
      <c r="A558" s="4">
        <v>42491</v>
      </c>
      <c r="B558" s="6" t="str">
        <f>_xlfn.CONCAT("Q",CEILING(Fuel_prices[[#This Row],[Month]]/3,1))</f>
        <v>Q2</v>
      </c>
      <c r="C558" s="6">
        <f>MONTH(Fuel_prices[[#This Row],[Date]])</f>
        <v>5</v>
      </c>
      <c r="D558" s="6" t="str">
        <f>TEXT(Fuel_prices[[#This Row],[Date]],"mmm")</f>
        <v>May</v>
      </c>
      <c r="E558" s="6">
        <f>YEAR(Fuel_prices[[#This Row],[Date]])</f>
        <v>2016</v>
      </c>
      <c r="F558" s="5">
        <v>45.93666666667</v>
      </c>
      <c r="G558" s="2">
        <f ca="1">ROUND(IFERROR((Fuel_prices[[#This Row],[Crude_Oil_Price]]-OFFSET(Fuel_prices[[#This Row],[Crude_Oil_Price]],-1,0)),0),2)</f>
        <v>5.19</v>
      </c>
      <c r="H558" s="2">
        <f ca="1">ROUND((IFERROR((Fuel_prices[[#This Row],[Crude_Oil_Price]]-OFFSET(Fuel_prices[[#This Row],[Crude_Oil_Price]],-1,0))/(OFFSET(Fuel_prices[[#This Row],[Crude_Oil_Price]],-1,0)),0))*100,2)</f>
        <v>12.73</v>
      </c>
      <c r="I558" s="2" t="str" cm="1">
        <f t="array" aca="1" ref="I558" ca="1">_xlfn.IFS(
    ABS(Fuel_prices[[#This Row],[%_change]])&gt;50,"SEVERE IMPACT",
    ABS(Fuel_prices[[#This Row],[%_change]])&gt;25,"HIGH IMPACT",
    ABS(Fuel_prices[[#This Row],[%_change]])&gt;5,"MID IMPACT",
    ABS(Fuel_prices[[#This Row],[%_change]])&lt;=5,"LITTLE IMPACT"
)</f>
        <v>MID IMPACT</v>
      </c>
    </row>
    <row r="559" spans="1:9" x14ac:dyDescent="0.25">
      <c r="A559" s="4">
        <v>42522</v>
      </c>
      <c r="B559" s="6" t="str">
        <f>_xlfn.CONCAT("Q",CEILING(Fuel_prices[[#This Row],[Month]]/3,1))</f>
        <v>Q2</v>
      </c>
      <c r="C559" s="6">
        <f>MONTH(Fuel_prices[[#This Row],[Date]])</f>
        <v>6</v>
      </c>
      <c r="D559" s="6" t="str">
        <f>TEXT(Fuel_prices[[#This Row],[Date]],"mmm")</f>
        <v>Jun</v>
      </c>
      <c r="E559" s="6">
        <f>YEAR(Fuel_prices[[#This Row],[Date]])</f>
        <v>2016</v>
      </c>
      <c r="F559" s="5">
        <v>47.68666666667</v>
      </c>
      <c r="G559" s="2">
        <f ca="1">ROUND(IFERROR((Fuel_prices[[#This Row],[Crude_Oil_Price]]-OFFSET(Fuel_prices[[#This Row],[Crude_Oil_Price]],-1,0)),0),2)</f>
        <v>1.75</v>
      </c>
      <c r="H559" s="2">
        <f ca="1">ROUND((IFERROR((Fuel_prices[[#This Row],[Crude_Oil_Price]]-OFFSET(Fuel_prices[[#This Row],[Crude_Oil_Price]],-1,0))/(OFFSET(Fuel_prices[[#This Row],[Crude_Oil_Price]],-1,0)),0))*100,2)</f>
        <v>3.81</v>
      </c>
      <c r="I559" s="2" t="str" cm="1">
        <f t="array" aca="1" ref="I559" ca="1">_xlfn.IFS(
    ABS(Fuel_prices[[#This Row],[%_change]])&gt;50,"SEVERE IMPACT",
    ABS(Fuel_prices[[#This Row],[%_change]])&gt;25,"HIGH IMPACT",
    ABS(Fuel_prices[[#This Row],[%_change]])&gt;5,"MID IMPACT",
    ABS(Fuel_prices[[#This Row],[%_change]])&lt;=5,"LITTLE IMPACT"
)</f>
        <v>LITTLE IMPACT</v>
      </c>
    </row>
    <row r="560" spans="1:9" x14ac:dyDescent="0.25">
      <c r="A560" s="4">
        <v>42552</v>
      </c>
      <c r="B560" s="6" t="str">
        <f>_xlfn.CONCAT("Q",CEILING(Fuel_prices[[#This Row],[Month]]/3,1))</f>
        <v>Q3</v>
      </c>
      <c r="C560" s="6">
        <f>MONTH(Fuel_prices[[#This Row],[Date]])</f>
        <v>7</v>
      </c>
      <c r="D560" s="6" t="str">
        <f>TEXT(Fuel_prices[[#This Row],[Date]],"mmm")</f>
        <v>Jul</v>
      </c>
      <c r="E560" s="6">
        <f>YEAR(Fuel_prices[[#This Row],[Date]])</f>
        <v>2016</v>
      </c>
      <c r="F560" s="5">
        <v>44.126666666669998</v>
      </c>
      <c r="G560" s="2">
        <f ca="1">ROUND(IFERROR((Fuel_prices[[#This Row],[Crude_Oil_Price]]-OFFSET(Fuel_prices[[#This Row],[Crude_Oil_Price]],-1,0)),0),2)</f>
        <v>-3.56</v>
      </c>
      <c r="H560" s="2">
        <f ca="1">ROUND((IFERROR((Fuel_prices[[#This Row],[Crude_Oil_Price]]-OFFSET(Fuel_prices[[#This Row],[Crude_Oil_Price]],-1,0))/(OFFSET(Fuel_prices[[#This Row],[Crude_Oil_Price]],-1,0)),0))*100,2)</f>
        <v>-7.47</v>
      </c>
      <c r="I560" s="2" t="str" cm="1">
        <f t="array" aca="1" ref="I560" ca="1">_xlfn.IFS(
    ABS(Fuel_prices[[#This Row],[%_change]])&gt;50,"SEVERE IMPACT",
    ABS(Fuel_prices[[#This Row],[%_change]])&gt;25,"HIGH IMPACT",
    ABS(Fuel_prices[[#This Row],[%_change]])&gt;5,"MID IMPACT",
    ABS(Fuel_prices[[#This Row],[%_change]])&lt;=5,"LITTLE IMPACT"
)</f>
        <v>MID IMPACT</v>
      </c>
    </row>
    <row r="561" spans="1:9" x14ac:dyDescent="0.25">
      <c r="A561" s="4">
        <v>42583</v>
      </c>
      <c r="B561" s="6" t="str">
        <f>_xlfn.CONCAT("Q",CEILING(Fuel_prices[[#This Row],[Month]]/3,1))</f>
        <v>Q3</v>
      </c>
      <c r="C561" s="6">
        <f>MONTH(Fuel_prices[[#This Row],[Date]])</f>
        <v>8</v>
      </c>
      <c r="D561" s="6" t="str">
        <f>TEXT(Fuel_prices[[#This Row],[Date]],"mmm")</f>
        <v>Aug</v>
      </c>
      <c r="E561" s="6">
        <f>YEAR(Fuel_prices[[#This Row],[Date]])</f>
        <v>2016</v>
      </c>
      <c r="F561" s="5">
        <v>44.876666666669998</v>
      </c>
      <c r="G561" s="2">
        <f ca="1">ROUND(IFERROR((Fuel_prices[[#This Row],[Crude_Oil_Price]]-OFFSET(Fuel_prices[[#This Row],[Crude_Oil_Price]],-1,0)),0),2)</f>
        <v>0.75</v>
      </c>
      <c r="H561" s="2">
        <f ca="1">ROUND((IFERROR((Fuel_prices[[#This Row],[Crude_Oil_Price]]-OFFSET(Fuel_prices[[#This Row],[Crude_Oil_Price]],-1,0))/(OFFSET(Fuel_prices[[#This Row],[Crude_Oil_Price]],-1,0)),0))*100,2)</f>
        <v>1.7</v>
      </c>
      <c r="I561" s="2" t="str" cm="1">
        <f t="array" aca="1" ref="I561" ca="1">_xlfn.IFS(
    ABS(Fuel_prices[[#This Row],[%_change]])&gt;50,"SEVERE IMPACT",
    ABS(Fuel_prices[[#This Row],[%_change]])&gt;25,"HIGH IMPACT",
    ABS(Fuel_prices[[#This Row],[%_change]])&gt;5,"MID IMPACT",
    ABS(Fuel_prices[[#This Row],[%_change]])&lt;=5,"LITTLE IMPACT"
)</f>
        <v>LITTLE IMPACT</v>
      </c>
    </row>
    <row r="562" spans="1:9" x14ac:dyDescent="0.25">
      <c r="A562" s="4">
        <v>42614</v>
      </c>
      <c r="B562" s="6" t="str">
        <f>_xlfn.CONCAT("Q",CEILING(Fuel_prices[[#This Row],[Month]]/3,1))</f>
        <v>Q3</v>
      </c>
      <c r="C562" s="6">
        <f>MONTH(Fuel_prices[[#This Row],[Date]])</f>
        <v>9</v>
      </c>
      <c r="D562" s="6" t="str">
        <f>TEXT(Fuel_prices[[#This Row],[Date]],"mmm")</f>
        <v>Sep</v>
      </c>
      <c r="E562" s="6">
        <f>YEAR(Fuel_prices[[#This Row],[Date]])</f>
        <v>2016</v>
      </c>
      <c r="F562" s="5">
        <v>45.043333333329997</v>
      </c>
      <c r="G562" s="2">
        <f ca="1">ROUND(IFERROR((Fuel_prices[[#This Row],[Crude_Oil_Price]]-OFFSET(Fuel_prices[[#This Row],[Crude_Oil_Price]],-1,0)),0),2)</f>
        <v>0.17</v>
      </c>
      <c r="H562" s="2">
        <f ca="1">ROUND((IFERROR((Fuel_prices[[#This Row],[Crude_Oil_Price]]-OFFSET(Fuel_prices[[#This Row],[Crude_Oil_Price]],-1,0))/(OFFSET(Fuel_prices[[#This Row],[Crude_Oil_Price]],-1,0)),0))*100,2)</f>
        <v>0.37</v>
      </c>
      <c r="I562" s="2" t="str" cm="1">
        <f t="array" aca="1" ref="I562" ca="1">_xlfn.IFS(
    ABS(Fuel_prices[[#This Row],[%_change]])&gt;50,"SEVERE IMPACT",
    ABS(Fuel_prices[[#This Row],[%_change]])&gt;25,"HIGH IMPACT",
    ABS(Fuel_prices[[#This Row],[%_change]])&gt;5,"MID IMPACT",
    ABS(Fuel_prices[[#This Row],[%_change]])&lt;=5,"LITTLE IMPACT"
)</f>
        <v>LITTLE IMPACT</v>
      </c>
    </row>
    <row r="563" spans="1:9" x14ac:dyDescent="0.25">
      <c r="A563" s="4">
        <v>42644</v>
      </c>
      <c r="B563" s="6" t="str">
        <f>_xlfn.CONCAT("Q",CEILING(Fuel_prices[[#This Row],[Month]]/3,1))</f>
        <v>Q4</v>
      </c>
      <c r="C563" s="6">
        <f>MONTH(Fuel_prices[[#This Row],[Date]])</f>
        <v>10</v>
      </c>
      <c r="D563" s="6" t="str">
        <f>TEXT(Fuel_prices[[#This Row],[Date]],"mmm")</f>
        <v>Oct</v>
      </c>
      <c r="E563" s="6">
        <f>YEAR(Fuel_prices[[#This Row],[Date]])</f>
        <v>2016</v>
      </c>
      <c r="F563" s="5">
        <v>49.293333333329997</v>
      </c>
      <c r="G563" s="2">
        <f ca="1">ROUND(IFERROR((Fuel_prices[[#This Row],[Crude_Oil_Price]]-OFFSET(Fuel_prices[[#This Row],[Crude_Oil_Price]],-1,0)),0),2)</f>
        <v>4.25</v>
      </c>
      <c r="H563" s="2">
        <f ca="1">ROUND((IFERROR((Fuel_prices[[#This Row],[Crude_Oil_Price]]-OFFSET(Fuel_prices[[#This Row],[Crude_Oil_Price]],-1,0))/(OFFSET(Fuel_prices[[#This Row],[Crude_Oil_Price]],-1,0)),0))*100,2)</f>
        <v>9.44</v>
      </c>
      <c r="I563" s="2" t="str" cm="1">
        <f t="array" aca="1" ref="I563" ca="1">_xlfn.IFS(
    ABS(Fuel_prices[[#This Row],[%_change]])&gt;50,"SEVERE IMPACT",
    ABS(Fuel_prices[[#This Row],[%_change]])&gt;25,"HIGH IMPACT",
    ABS(Fuel_prices[[#This Row],[%_change]])&gt;5,"MID IMPACT",
    ABS(Fuel_prices[[#This Row],[%_change]])&lt;=5,"LITTLE IMPACT"
)</f>
        <v>MID IMPACT</v>
      </c>
    </row>
    <row r="564" spans="1:9" x14ac:dyDescent="0.25">
      <c r="A564" s="4">
        <v>42675</v>
      </c>
      <c r="B564" s="6" t="str">
        <f>_xlfn.CONCAT("Q",CEILING(Fuel_prices[[#This Row],[Month]]/3,1))</f>
        <v>Q4</v>
      </c>
      <c r="C564" s="6">
        <f>MONTH(Fuel_prices[[#This Row],[Date]])</f>
        <v>11</v>
      </c>
      <c r="D564" s="6" t="str">
        <f>TEXT(Fuel_prices[[#This Row],[Date]],"mmm")</f>
        <v>Nov</v>
      </c>
      <c r="E564" s="6">
        <f>YEAR(Fuel_prices[[#This Row],[Date]])</f>
        <v>2016</v>
      </c>
      <c r="F564" s="5">
        <v>45.26</v>
      </c>
      <c r="G564" s="2">
        <f ca="1">ROUND(IFERROR((Fuel_prices[[#This Row],[Crude_Oil_Price]]-OFFSET(Fuel_prices[[#This Row],[Crude_Oil_Price]],-1,0)),0),2)</f>
        <v>-4.03</v>
      </c>
      <c r="H564" s="2">
        <f ca="1">ROUND((IFERROR((Fuel_prices[[#This Row],[Crude_Oil_Price]]-OFFSET(Fuel_prices[[#This Row],[Crude_Oil_Price]],-1,0))/(OFFSET(Fuel_prices[[#This Row],[Crude_Oil_Price]],-1,0)),0))*100,2)</f>
        <v>-8.18</v>
      </c>
      <c r="I564" s="2" t="str" cm="1">
        <f t="array" aca="1" ref="I564" ca="1">_xlfn.IFS(
    ABS(Fuel_prices[[#This Row],[%_change]])&gt;50,"SEVERE IMPACT",
    ABS(Fuel_prices[[#This Row],[%_change]])&gt;25,"HIGH IMPACT",
    ABS(Fuel_prices[[#This Row],[%_change]])&gt;5,"MID IMPACT",
    ABS(Fuel_prices[[#This Row],[%_change]])&lt;=5,"LITTLE IMPACT"
)</f>
        <v>MID IMPACT</v>
      </c>
    </row>
    <row r="565" spans="1:9" x14ac:dyDescent="0.25">
      <c r="A565" s="4">
        <v>42705</v>
      </c>
      <c r="B565" s="6" t="str">
        <f>_xlfn.CONCAT("Q",CEILING(Fuel_prices[[#This Row],[Month]]/3,1))</f>
        <v>Q4</v>
      </c>
      <c r="C565" s="6">
        <f>MONTH(Fuel_prices[[#This Row],[Date]])</f>
        <v>12</v>
      </c>
      <c r="D565" s="6" t="str">
        <f>TEXT(Fuel_prices[[#This Row],[Date]],"mmm")</f>
        <v>Dec</v>
      </c>
      <c r="E565" s="6">
        <f>YEAR(Fuel_prices[[#This Row],[Date]])</f>
        <v>2016</v>
      </c>
      <c r="F565" s="5">
        <v>52.62</v>
      </c>
      <c r="G565" s="2">
        <f ca="1">ROUND(IFERROR((Fuel_prices[[#This Row],[Crude_Oil_Price]]-OFFSET(Fuel_prices[[#This Row],[Crude_Oil_Price]],-1,0)),0),2)</f>
        <v>7.36</v>
      </c>
      <c r="H565" s="2">
        <f ca="1">ROUND((IFERROR((Fuel_prices[[#This Row],[Crude_Oil_Price]]-OFFSET(Fuel_prices[[#This Row],[Crude_Oil_Price]],-1,0))/(OFFSET(Fuel_prices[[#This Row],[Crude_Oil_Price]],-1,0)),0))*100,2)</f>
        <v>16.260000000000002</v>
      </c>
      <c r="I565" s="2" t="str" cm="1">
        <f t="array" aca="1" ref="I565" ca="1">_xlfn.IFS(
    ABS(Fuel_prices[[#This Row],[%_change]])&gt;50,"SEVERE IMPACT",
    ABS(Fuel_prices[[#This Row],[%_change]])&gt;25,"HIGH IMPACT",
    ABS(Fuel_prices[[#This Row],[%_change]])&gt;5,"MID IMPACT",
    ABS(Fuel_prices[[#This Row],[%_change]])&lt;=5,"LITTLE IMPACT"
)</f>
        <v>MID IMPACT</v>
      </c>
    </row>
    <row r="566" spans="1:9" x14ac:dyDescent="0.25">
      <c r="A566" s="4">
        <v>42736</v>
      </c>
      <c r="B566" s="6" t="str">
        <f>_xlfn.CONCAT("Q",CEILING(Fuel_prices[[#This Row],[Month]]/3,1))</f>
        <v>Q1</v>
      </c>
      <c r="C566" s="6">
        <f>MONTH(Fuel_prices[[#This Row],[Date]])</f>
        <v>1</v>
      </c>
      <c r="D566" s="6" t="str">
        <f>TEXT(Fuel_prices[[#This Row],[Date]],"mmm")</f>
        <v>Jan</v>
      </c>
      <c r="E566" s="6">
        <f>YEAR(Fuel_prices[[#This Row],[Date]])</f>
        <v>2017</v>
      </c>
      <c r="F566" s="5">
        <v>53.59</v>
      </c>
      <c r="G566" s="2">
        <f ca="1">ROUND(IFERROR((Fuel_prices[[#This Row],[Crude_Oil_Price]]-OFFSET(Fuel_prices[[#This Row],[Crude_Oil_Price]],-1,0)),0),2)</f>
        <v>0.97</v>
      </c>
      <c r="H566" s="2">
        <f ca="1">ROUND((IFERROR((Fuel_prices[[#This Row],[Crude_Oil_Price]]-OFFSET(Fuel_prices[[#This Row],[Crude_Oil_Price]],-1,0))/(OFFSET(Fuel_prices[[#This Row],[Crude_Oil_Price]],-1,0)),0))*100,2)</f>
        <v>1.84</v>
      </c>
      <c r="I566" s="2" t="str" cm="1">
        <f t="array" aca="1" ref="I566" ca="1">_xlfn.IFS(
    ABS(Fuel_prices[[#This Row],[%_change]])&gt;50,"SEVERE IMPACT",
    ABS(Fuel_prices[[#This Row],[%_change]])&gt;25,"HIGH IMPACT",
    ABS(Fuel_prices[[#This Row],[%_change]])&gt;5,"MID IMPACT",
    ABS(Fuel_prices[[#This Row],[%_change]])&lt;=5,"LITTLE IMPACT"
)</f>
        <v>LITTLE IMPACT</v>
      </c>
    </row>
    <row r="567" spans="1:9" x14ac:dyDescent="0.25">
      <c r="A567" s="4">
        <v>42767</v>
      </c>
      <c r="B567" s="6" t="str">
        <f>_xlfn.CONCAT("Q",CEILING(Fuel_prices[[#This Row],[Month]]/3,1))</f>
        <v>Q1</v>
      </c>
      <c r="C567" s="6">
        <f>MONTH(Fuel_prices[[#This Row],[Date]])</f>
        <v>2</v>
      </c>
      <c r="D567" s="6" t="str">
        <f>TEXT(Fuel_prices[[#This Row],[Date]],"mmm")</f>
        <v>Feb</v>
      </c>
      <c r="E567" s="6">
        <f>YEAR(Fuel_prices[[#This Row],[Date]])</f>
        <v>2017</v>
      </c>
      <c r="F567" s="5">
        <v>54.353333333329999</v>
      </c>
      <c r="G567" s="2">
        <f ca="1">ROUND(IFERROR((Fuel_prices[[#This Row],[Crude_Oil_Price]]-OFFSET(Fuel_prices[[#This Row],[Crude_Oil_Price]],-1,0)),0),2)</f>
        <v>0.76</v>
      </c>
      <c r="H567" s="2">
        <f ca="1">ROUND((IFERROR((Fuel_prices[[#This Row],[Crude_Oil_Price]]-OFFSET(Fuel_prices[[#This Row],[Crude_Oil_Price]],-1,0))/(OFFSET(Fuel_prices[[#This Row],[Crude_Oil_Price]],-1,0)),0))*100,2)</f>
        <v>1.42</v>
      </c>
      <c r="I567" s="2" t="str" cm="1">
        <f t="array" aca="1" ref="I567" ca="1">_xlfn.IFS(
    ABS(Fuel_prices[[#This Row],[%_change]])&gt;50,"SEVERE IMPACT",
    ABS(Fuel_prices[[#This Row],[%_change]])&gt;25,"HIGH IMPACT",
    ABS(Fuel_prices[[#This Row],[%_change]])&gt;5,"MID IMPACT",
    ABS(Fuel_prices[[#This Row],[%_change]])&lt;=5,"LITTLE IMPACT"
)</f>
        <v>LITTLE IMPACT</v>
      </c>
    </row>
    <row r="568" spans="1:9" x14ac:dyDescent="0.25">
      <c r="A568" s="4">
        <v>42795</v>
      </c>
      <c r="B568" s="6" t="str">
        <f>_xlfn.CONCAT("Q",CEILING(Fuel_prices[[#This Row],[Month]]/3,1))</f>
        <v>Q1</v>
      </c>
      <c r="C568" s="6">
        <f>MONTH(Fuel_prices[[#This Row],[Date]])</f>
        <v>3</v>
      </c>
      <c r="D568" s="6" t="str">
        <f>TEXT(Fuel_prices[[#This Row],[Date]],"mmm")</f>
        <v>Mar</v>
      </c>
      <c r="E568" s="6">
        <f>YEAR(Fuel_prices[[#This Row],[Date]])</f>
        <v>2017</v>
      </c>
      <c r="F568" s="5">
        <v>50.903333333330004</v>
      </c>
      <c r="G568" s="2">
        <f ca="1">ROUND(IFERROR((Fuel_prices[[#This Row],[Crude_Oil_Price]]-OFFSET(Fuel_prices[[#This Row],[Crude_Oil_Price]],-1,0)),0),2)</f>
        <v>-3.45</v>
      </c>
      <c r="H568" s="2">
        <f ca="1">ROUND((IFERROR((Fuel_prices[[#This Row],[Crude_Oil_Price]]-OFFSET(Fuel_prices[[#This Row],[Crude_Oil_Price]],-1,0))/(OFFSET(Fuel_prices[[#This Row],[Crude_Oil_Price]],-1,0)),0))*100,2)</f>
        <v>-6.35</v>
      </c>
      <c r="I568" s="2" t="str" cm="1">
        <f t="array" aca="1" ref="I568" ca="1">_xlfn.IFS(
    ABS(Fuel_prices[[#This Row],[%_change]])&gt;50,"SEVERE IMPACT",
    ABS(Fuel_prices[[#This Row],[%_change]])&gt;25,"HIGH IMPACT",
    ABS(Fuel_prices[[#This Row],[%_change]])&gt;5,"MID IMPACT",
    ABS(Fuel_prices[[#This Row],[%_change]])&lt;=5,"LITTLE IMPACT"
)</f>
        <v>MID IMPACT</v>
      </c>
    </row>
    <row r="569" spans="1:9" x14ac:dyDescent="0.25">
      <c r="A569" s="4">
        <v>42826</v>
      </c>
      <c r="B569" s="6" t="str">
        <f>_xlfn.CONCAT("Q",CEILING(Fuel_prices[[#This Row],[Month]]/3,1))</f>
        <v>Q2</v>
      </c>
      <c r="C569" s="6">
        <f>MONTH(Fuel_prices[[#This Row],[Date]])</f>
        <v>4</v>
      </c>
      <c r="D569" s="6" t="str">
        <f>TEXT(Fuel_prices[[#This Row],[Date]],"mmm")</f>
        <v>Apr</v>
      </c>
      <c r="E569" s="6">
        <f>YEAR(Fuel_prices[[#This Row],[Date]])</f>
        <v>2017</v>
      </c>
      <c r="F569" s="5">
        <v>52.163333333330002</v>
      </c>
      <c r="G569" s="2">
        <f ca="1">ROUND(IFERROR((Fuel_prices[[#This Row],[Crude_Oil_Price]]-OFFSET(Fuel_prices[[#This Row],[Crude_Oil_Price]],-1,0)),0),2)</f>
        <v>1.26</v>
      </c>
      <c r="H569" s="2">
        <f ca="1">ROUND((IFERROR((Fuel_prices[[#This Row],[Crude_Oil_Price]]-OFFSET(Fuel_prices[[#This Row],[Crude_Oil_Price]],-1,0))/(OFFSET(Fuel_prices[[#This Row],[Crude_Oil_Price]],-1,0)),0))*100,2)</f>
        <v>2.48</v>
      </c>
      <c r="I569" s="2" t="str" cm="1">
        <f t="array" aca="1" ref="I569" ca="1">_xlfn.IFS(
    ABS(Fuel_prices[[#This Row],[%_change]])&gt;50,"SEVERE IMPACT",
    ABS(Fuel_prices[[#This Row],[%_change]])&gt;25,"HIGH IMPACT",
    ABS(Fuel_prices[[#This Row],[%_change]])&gt;5,"MID IMPACT",
    ABS(Fuel_prices[[#This Row],[%_change]])&lt;=5,"LITTLE IMPACT"
)</f>
        <v>LITTLE IMPACT</v>
      </c>
    </row>
    <row r="570" spans="1:9" x14ac:dyDescent="0.25">
      <c r="A570" s="4">
        <v>42856</v>
      </c>
      <c r="B570" s="6" t="str">
        <f>_xlfn.CONCAT("Q",CEILING(Fuel_prices[[#This Row],[Month]]/3,1))</f>
        <v>Q2</v>
      </c>
      <c r="C570" s="6">
        <f>MONTH(Fuel_prices[[#This Row],[Date]])</f>
        <v>5</v>
      </c>
      <c r="D570" s="6" t="str">
        <f>TEXT(Fuel_prices[[#This Row],[Date]],"mmm")</f>
        <v>May</v>
      </c>
      <c r="E570" s="6">
        <f>YEAR(Fuel_prices[[#This Row],[Date]])</f>
        <v>2017</v>
      </c>
      <c r="F570" s="5">
        <v>49.893333333329998</v>
      </c>
      <c r="G570" s="2">
        <f ca="1">ROUND(IFERROR((Fuel_prices[[#This Row],[Crude_Oil_Price]]-OFFSET(Fuel_prices[[#This Row],[Crude_Oil_Price]],-1,0)),0),2)</f>
        <v>-2.27</v>
      </c>
      <c r="H570" s="2">
        <f ca="1">ROUND((IFERROR((Fuel_prices[[#This Row],[Crude_Oil_Price]]-OFFSET(Fuel_prices[[#This Row],[Crude_Oil_Price]],-1,0))/(OFFSET(Fuel_prices[[#This Row],[Crude_Oil_Price]],-1,0)),0))*100,2)</f>
        <v>-4.3499999999999996</v>
      </c>
      <c r="I570" s="2" t="str" cm="1">
        <f t="array" aca="1" ref="I570" ca="1">_xlfn.IFS(
    ABS(Fuel_prices[[#This Row],[%_change]])&gt;50,"SEVERE IMPACT",
    ABS(Fuel_prices[[#This Row],[%_change]])&gt;25,"HIGH IMPACT",
    ABS(Fuel_prices[[#This Row],[%_change]])&gt;5,"MID IMPACT",
    ABS(Fuel_prices[[#This Row],[%_change]])&lt;=5,"LITTLE IMPACT"
)</f>
        <v>LITTLE IMPACT</v>
      </c>
    </row>
    <row r="571" spans="1:9" x14ac:dyDescent="0.25">
      <c r="A571" s="4">
        <v>42887</v>
      </c>
      <c r="B571" s="6" t="str">
        <f>_xlfn.CONCAT("Q",CEILING(Fuel_prices[[#This Row],[Month]]/3,1))</f>
        <v>Q2</v>
      </c>
      <c r="C571" s="6">
        <f>MONTH(Fuel_prices[[#This Row],[Date]])</f>
        <v>6</v>
      </c>
      <c r="D571" s="6" t="str">
        <f>TEXT(Fuel_prices[[#This Row],[Date]],"mmm")</f>
        <v>Jun</v>
      </c>
      <c r="E571" s="6">
        <f>YEAR(Fuel_prices[[#This Row],[Date]])</f>
        <v>2017</v>
      </c>
      <c r="F571" s="5">
        <v>46.166666666669997</v>
      </c>
      <c r="G571" s="2">
        <f ca="1">ROUND(IFERROR((Fuel_prices[[#This Row],[Crude_Oil_Price]]-OFFSET(Fuel_prices[[#This Row],[Crude_Oil_Price]],-1,0)),0),2)</f>
        <v>-3.73</v>
      </c>
      <c r="H571" s="2">
        <f ca="1">ROUND((IFERROR((Fuel_prices[[#This Row],[Crude_Oil_Price]]-OFFSET(Fuel_prices[[#This Row],[Crude_Oil_Price]],-1,0))/(OFFSET(Fuel_prices[[#This Row],[Crude_Oil_Price]],-1,0)),0))*100,2)</f>
        <v>-7.47</v>
      </c>
      <c r="I571" s="2" t="str" cm="1">
        <f t="array" aca="1" ref="I571" ca="1">_xlfn.IFS(
    ABS(Fuel_prices[[#This Row],[%_change]])&gt;50,"SEVERE IMPACT",
    ABS(Fuel_prices[[#This Row],[%_change]])&gt;25,"HIGH IMPACT",
    ABS(Fuel_prices[[#This Row],[%_change]])&gt;5,"MID IMPACT",
    ABS(Fuel_prices[[#This Row],[%_change]])&lt;=5,"LITTLE IMPACT"
)</f>
        <v>MID IMPACT</v>
      </c>
    </row>
    <row r="572" spans="1:9" x14ac:dyDescent="0.25">
      <c r="A572" s="4">
        <v>42917</v>
      </c>
      <c r="B572" s="6" t="str">
        <f>_xlfn.CONCAT("Q",CEILING(Fuel_prices[[#This Row],[Month]]/3,1))</f>
        <v>Q3</v>
      </c>
      <c r="C572" s="6">
        <f>MONTH(Fuel_prices[[#This Row],[Date]])</f>
        <v>7</v>
      </c>
      <c r="D572" s="6" t="str">
        <f>TEXT(Fuel_prices[[#This Row],[Date]],"mmm")</f>
        <v>Jul</v>
      </c>
      <c r="E572" s="6">
        <f>YEAR(Fuel_prices[[#This Row],[Date]])</f>
        <v>2017</v>
      </c>
      <c r="F572" s="5">
        <v>47.656666666669999</v>
      </c>
      <c r="G572" s="2">
        <f ca="1">ROUND(IFERROR((Fuel_prices[[#This Row],[Crude_Oil_Price]]-OFFSET(Fuel_prices[[#This Row],[Crude_Oil_Price]],-1,0)),0),2)</f>
        <v>1.49</v>
      </c>
      <c r="H572" s="2">
        <f ca="1">ROUND((IFERROR((Fuel_prices[[#This Row],[Crude_Oil_Price]]-OFFSET(Fuel_prices[[#This Row],[Crude_Oil_Price]],-1,0))/(OFFSET(Fuel_prices[[#This Row],[Crude_Oil_Price]],-1,0)),0))*100,2)</f>
        <v>3.23</v>
      </c>
      <c r="I572" s="2" t="str" cm="1">
        <f t="array" aca="1" ref="I572" ca="1">_xlfn.IFS(
    ABS(Fuel_prices[[#This Row],[%_change]])&gt;50,"SEVERE IMPACT",
    ABS(Fuel_prices[[#This Row],[%_change]])&gt;25,"HIGH IMPACT",
    ABS(Fuel_prices[[#This Row],[%_change]])&gt;5,"MID IMPACT",
    ABS(Fuel_prices[[#This Row],[%_change]])&lt;=5,"LITTLE IMPACT"
)</f>
        <v>LITTLE IMPACT</v>
      </c>
    </row>
    <row r="573" spans="1:9" x14ac:dyDescent="0.25">
      <c r="A573" s="4">
        <v>42948</v>
      </c>
      <c r="B573" s="6" t="str">
        <f>_xlfn.CONCAT("Q",CEILING(Fuel_prices[[#This Row],[Month]]/3,1))</f>
        <v>Q3</v>
      </c>
      <c r="C573" s="6">
        <f>MONTH(Fuel_prices[[#This Row],[Date]])</f>
        <v>8</v>
      </c>
      <c r="D573" s="6" t="str">
        <f>TEXT(Fuel_prices[[#This Row],[Date]],"mmm")</f>
        <v>Aug</v>
      </c>
      <c r="E573" s="6">
        <f>YEAR(Fuel_prices[[#This Row],[Date]])</f>
        <v>2017</v>
      </c>
      <c r="F573" s="5">
        <v>49.943333333330003</v>
      </c>
      <c r="G573" s="2">
        <f ca="1">ROUND(IFERROR((Fuel_prices[[#This Row],[Crude_Oil_Price]]-OFFSET(Fuel_prices[[#This Row],[Crude_Oil_Price]],-1,0)),0),2)</f>
        <v>2.29</v>
      </c>
      <c r="H573" s="2">
        <f ca="1">ROUND((IFERROR((Fuel_prices[[#This Row],[Crude_Oil_Price]]-OFFSET(Fuel_prices[[#This Row],[Crude_Oil_Price]],-1,0))/(OFFSET(Fuel_prices[[#This Row],[Crude_Oil_Price]],-1,0)),0))*100,2)</f>
        <v>4.8</v>
      </c>
      <c r="I573" s="2" t="str" cm="1">
        <f t="array" aca="1" ref="I573" ca="1">_xlfn.IFS(
    ABS(Fuel_prices[[#This Row],[%_change]])&gt;50,"SEVERE IMPACT",
    ABS(Fuel_prices[[#This Row],[%_change]])&gt;25,"HIGH IMPACT",
    ABS(Fuel_prices[[#This Row],[%_change]])&gt;5,"MID IMPACT",
    ABS(Fuel_prices[[#This Row],[%_change]])&lt;=5,"LITTLE IMPACT"
)</f>
        <v>LITTLE IMPACT</v>
      </c>
    </row>
    <row r="574" spans="1:9" x14ac:dyDescent="0.25">
      <c r="A574" s="4">
        <v>42979</v>
      </c>
      <c r="B574" s="6" t="str">
        <f>_xlfn.CONCAT("Q",CEILING(Fuel_prices[[#This Row],[Month]]/3,1))</f>
        <v>Q3</v>
      </c>
      <c r="C574" s="6">
        <f>MONTH(Fuel_prices[[#This Row],[Date]])</f>
        <v>9</v>
      </c>
      <c r="D574" s="6" t="str">
        <f>TEXT(Fuel_prices[[#This Row],[Date]],"mmm")</f>
        <v>Sep</v>
      </c>
      <c r="E574" s="6">
        <f>YEAR(Fuel_prices[[#This Row],[Date]])</f>
        <v>2017</v>
      </c>
      <c r="F574" s="5">
        <v>52.95</v>
      </c>
      <c r="G574" s="2">
        <f ca="1">ROUND(IFERROR((Fuel_prices[[#This Row],[Crude_Oil_Price]]-OFFSET(Fuel_prices[[#This Row],[Crude_Oil_Price]],-1,0)),0),2)</f>
        <v>3.01</v>
      </c>
      <c r="H574" s="2">
        <f ca="1">ROUND((IFERROR((Fuel_prices[[#This Row],[Crude_Oil_Price]]-OFFSET(Fuel_prices[[#This Row],[Crude_Oil_Price]],-1,0))/(OFFSET(Fuel_prices[[#This Row],[Crude_Oil_Price]],-1,0)),0))*100,2)</f>
        <v>6.02</v>
      </c>
      <c r="I574" s="2" t="str" cm="1">
        <f t="array" aca="1" ref="I574" ca="1">_xlfn.IFS(
    ABS(Fuel_prices[[#This Row],[%_change]])&gt;50,"SEVERE IMPACT",
    ABS(Fuel_prices[[#This Row],[%_change]])&gt;25,"HIGH IMPACT",
    ABS(Fuel_prices[[#This Row],[%_change]])&gt;5,"MID IMPACT",
    ABS(Fuel_prices[[#This Row],[%_change]])&lt;=5,"LITTLE IMPACT"
)</f>
        <v>MID IMPACT</v>
      </c>
    </row>
    <row r="575" spans="1:9" x14ac:dyDescent="0.25">
      <c r="A575" s="4">
        <v>43009</v>
      </c>
      <c r="B575" s="6" t="str">
        <f>_xlfn.CONCAT("Q",CEILING(Fuel_prices[[#This Row],[Month]]/3,1))</f>
        <v>Q4</v>
      </c>
      <c r="C575" s="6">
        <f>MONTH(Fuel_prices[[#This Row],[Date]])</f>
        <v>10</v>
      </c>
      <c r="D575" s="6" t="str">
        <f>TEXT(Fuel_prices[[#This Row],[Date]],"mmm")</f>
        <v>Oct</v>
      </c>
      <c r="E575" s="6">
        <f>YEAR(Fuel_prices[[#This Row],[Date]])</f>
        <v>2017</v>
      </c>
      <c r="F575" s="5">
        <v>54.92</v>
      </c>
      <c r="G575" s="2">
        <f ca="1">ROUND(IFERROR((Fuel_prices[[#This Row],[Crude_Oil_Price]]-OFFSET(Fuel_prices[[#This Row],[Crude_Oil_Price]],-1,0)),0),2)</f>
        <v>1.97</v>
      </c>
      <c r="H575" s="2">
        <f ca="1">ROUND((IFERROR((Fuel_prices[[#This Row],[Crude_Oil_Price]]-OFFSET(Fuel_prices[[#This Row],[Crude_Oil_Price]],-1,0))/(OFFSET(Fuel_prices[[#This Row],[Crude_Oil_Price]],-1,0)),0))*100,2)</f>
        <v>3.72</v>
      </c>
      <c r="I575" s="2" t="str" cm="1">
        <f t="array" aca="1" ref="I575" ca="1">_xlfn.IFS(
    ABS(Fuel_prices[[#This Row],[%_change]])&gt;50,"SEVERE IMPACT",
    ABS(Fuel_prices[[#This Row],[%_change]])&gt;25,"HIGH IMPACT",
    ABS(Fuel_prices[[#This Row],[%_change]])&gt;5,"MID IMPACT",
    ABS(Fuel_prices[[#This Row],[%_change]])&lt;=5,"LITTLE IMPACT"
)</f>
        <v>LITTLE IMPACT</v>
      </c>
    </row>
    <row r="576" spans="1:9" x14ac:dyDescent="0.25">
      <c r="A576" s="4">
        <v>43040</v>
      </c>
      <c r="B576" s="6" t="str">
        <f>_xlfn.CONCAT("Q",CEILING(Fuel_prices[[#This Row],[Month]]/3,1))</f>
        <v>Q4</v>
      </c>
      <c r="C576" s="6">
        <f>MONTH(Fuel_prices[[#This Row],[Date]])</f>
        <v>11</v>
      </c>
      <c r="D576" s="6" t="str">
        <f>TEXT(Fuel_prices[[#This Row],[Date]],"mmm")</f>
        <v>Nov</v>
      </c>
      <c r="E576" s="6">
        <f>YEAR(Fuel_prices[[#This Row],[Date]])</f>
        <v>2017</v>
      </c>
      <c r="F576" s="5">
        <v>59.933333333329998</v>
      </c>
      <c r="G576" s="2">
        <f ca="1">ROUND(IFERROR((Fuel_prices[[#This Row],[Crude_Oil_Price]]-OFFSET(Fuel_prices[[#This Row],[Crude_Oil_Price]],-1,0)),0),2)</f>
        <v>5.01</v>
      </c>
      <c r="H576" s="2">
        <f ca="1">ROUND((IFERROR((Fuel_prices[[#This Row],[Crude_Oil_Price]]-OFFSET(Fuel_prices[[#This Row],[Crude_Oil_Price]],-1,0))/(OFFSET(Fuel_prices[[#This Row],[Crude_Oil_Price]],-1,0)),0))*100,2)</f>
        <v>9.1300000000000008</v>
      </c>
      <c r="I576" s="2" t="str" cm="1">
        <f t="array" aca="1" ref="I576" ca="1">_xlfn.IFS(
    ABS(Fuel_prices[[#This Row],[%_change]])&gt;50,"SEVERE IMPACT",
    ABS(Fuel_prices[[#This Row],[%_change]])&gt;25,"HIGH IMPACT",
    ABS(Fuel_prices[[#This Row],[%_change]])&gt;5,"MID IMPACT",
    ABS(Fuel_prices[[#This Row],[%_change]])&lt;=5,"LITTLE IMPACT"
)</f>
        <v>MID IMPACT</v>
      </c>
    </row>
    <row r="577" spans="1:9" x14ac:dyDescent="0.25">
      <c r="A577" s="4">
        <v>43070</v>
      </c>
      <c r="B577" s="6" t="str">
        <f>_xlfn.CONCAT("Q",CEILING(Fuel_prices[[#This Row],[Month]]/3,1))</f>
        <v>Q4</v>
      </c>
      <c r="C577" s="6">
        <f>MONTH(Fuel_prices[[#This Row],[Date]])</f>
        <v>12</v>
      </c>
      <c r="D577" s="6" t="str">
        <f>TEXT(Fuel_prices[[#This Row],[Date]],"mmm")</f>
        <v>Dec</v>
      </c>
      <c r="E577" s="6">
        <f>YEAR(Fuel_prices[[#This Row],[Date]])</f>
        <v>2017</v>
      </c>
      <c r="F577" s="5">
        <v>61.18666666667</v>
      </c>
      <c r="G577" s="2">
        <f ca="1">ROUND(IFERROR((Fuel_prices[[#This Row],[Crude_Oil_Price]]-OFFSET(Fuel_prices[[#This Row],[Crude_Oil_Price]],-1,0)),0),2)</f>
        <v>1.25</v>
      </c>
      <c r="H577" s="2">
        <f ca="1">ROUND((IFERROR((Fuel_prices[[#This Row],[Crude_Oil_Price]]-OFFSET(Fuel_prices[[#This Row],[Crude_Oil_Price]],-1,0))/(OFFSET(Fuel_prices[[#This Row],[Crude_Oil_Price]],-1,0)),0))*100,2)</f>
        <v>2.09</v>
      </c>
      <c r="I577" s="2" t="str" cm="1">
        <f t="array" aca="1" ref="I577" ca="1">_xlfn.IFS(
    ABS(Fuel_prices[[#This Row],[%_change]])&gt;50,"SEVERE IMPACT",
    ABS(Fuel_prices[[#This Row],[%_change]])&gt;25,"HIGH IMPACT",
    ABS(Fuel_prices[[#This Row],[%_change]])&gt;5,"MID IMPACT",
    ABS(Fuel_prices[[#This Row],[%_change]])&lt;=5,"LITTLE IMPACT"
)</f>
        <v>LITTLE IMPACT</v>
      </c>
    </row>
    <row r="578" spans="1:9" x14ac:dyDescent="0.25">
      <c r="A578" s="4">
        <v>43101</v>
      </c>
      <c r="B578" s="6" t="str">
        <f>_xlfn.CONCAT("Q",CEILING(Fuel_prices[[#This Row],[Month]]/3,1))</f>
        <v>Q1</v>
      </c>
      <c r="C578" s="6">
        <f>MONTH(Fuel_prices[[#This Row],[Date]])</f>
        <v>1</v>
      </c>
      <c r="D578" s="6" t="str">
        <f>TEXT(Fuel_prices[[#This Row],[Date]],"mmm")</f>
        <v>Jan</v>
      </c>
      <c r="E578" s="6">
        <f>YEAR(Fuel_prices[[#This Row],[Date]])</f>
        <v>2018</v>
      </c>
      <c r="F578" s="5">
        <v>66.226666666669999</v>
      </c>
      <c r="G578" s="2">
        <f ca="1">ROUND(IFERROR((Fuel_prices[[#This Row],[Crude_Oil_Price]]-OFFSET(Fuel_prices[[#This Row],[Crude_Oil_Price]],-1,0)),0),2)</f>
        <v>5.04</v>
      </c>
      <c r="H578" s="2">
        <f ca="1">ROUND((IFERROR((Fuel_prices[[#This Row],[Crude_Oil_Price]]-OFFSET(Fuel_prices[[#This Row],[Crude_Oil_Price]],-1,0))/(OFFSET(Fuel_prices[[#This Row],[Crude_Oil_Price]],-1,0)),0))*100,2)</f>
        <v>8.24</v>
      </c>
      <c r="I578" s="2" t="str" cm="1">
        <f t="array" aca="1" ref="I578" ca="1">_xlfn.IFS(
    ABS(Fuel_prices[[#This Row],[%_change]])&gt;50,"SEVERE IMPACT",
    ABS(Fuel_prices[[#This Row],[%_change]])&gt;25,"HIGH IMPACT",
    ABS(Fuel_prices[[#This Row],[%_change]])&gt;5,"MID IMPACT",
    ABS(Fuel_prices[[#This Row],[%_change]])&lt;=5,"LITTLE IMPACT"
)</f>
        <v>MID IMPACT</v>
      </c>
    </row>
    <row r="579" spans="1:9" x14ac:dyDescent="0.25">
      <c r="A579" s="4">
        <v>43132</v>
      </c>
      <c r="B579" s="6" t="str">
        <f>_xlfn.CONCAT("Q",CEILING(Fuel_prices[[#This Row],[Month]]/3,1))</f>
        <v>Q1</v>
      </c>
      <c r="C579" s="6">
        <f>MONTH(Fuel_prices[[#This Row],[Date]])</f>
        <v>2</v>
      </c>
      <c r="D579" s="6" t="str">
        <f>TEXT(Fuel_prices[[#This Row],[Date]],"mmm")</f>
        <v>Feb</v>
      </c>
      <c r="E579" s="6">
        <f>YEAR(Fuel_prices[[#This Row],[Date]])</f>
        <v>2018</v>
      </c>
      <c r="F579" s="5">
        <v>63.46</v>
      </c>
      <c r="G579" s="2">
        <f ca="1">ROUND(IFERROR((Fuel_prices[[#This Row],[Crude_Oil_Price]]-OFFSET(Fuel_prices[[#This Row],[Crude_Oil_Price]],-1,0)),0),2)</f>
        <v>-2.77</v>
      </c>
      <c r="H579" s="2">
        <f ca="1">ROUND((IFERROR((Fuel_prices[[#This Row],[Crude_Oil_Price]]-OFFSET(Fuel_prices[[#This Row],[Crude_Oil_Price]],-1,0))/(OFFSET(Fuel_prices[[#This Row],[Crude_Oil_Price]],-1,0)),0))*100,2)</f>
        <v>-4.18</v>
      </c>
      <c r="I579" s="2" t="str" cm="1">
        <f t="array" aca="1" ref="I579" ca="1">_xlfn.IFS(
    ABS(Fuel_prices[[#This Row],[%_change]])&gt;50,"SEVERE IMPACT",
    ABS(Fuel_prices[[#This Row],[%_change]])&gt;25,"HIGH IMPACT",
    ABS(Fuel_prices[[#This Row],[%_change]])&gt;5,"MID IMPACT",
    ABS(Fuel_prices[[#This Row],[%_change]])&lt;=5,"LITTLE IMPACT"
)</f>
        <v>LITTLE IMPACT</v>
      </c>
    </row>
    <row r="580" spans="1:9" x14ac:dyDescent="0.25">
      <c r="A580" s="4">
        <v>43160</v>
      </c>
      <c r="B580" s="6" t="str">
        <f>_xlfn.CONCAT("Q",CEILING(Fuel_prices[[#This Row],[Month]]/3,1))</f>
        <v>Q1</v>
      </c>
      <c r="C580" s="6">
        <f>MONTH(Fuel_prices[[#This Row],[Date]])</f>
        <v>3</v>
      </c>
      <c r="D580" s="6" t="str">
        <f>TEXT(Fuel_prices[[#This Row],[Date]],"mmm")</f>
        <v>Mar</v>
      </c>
      <c r="E580" s="6">
        <f>YEAR(Fuel_prices[[#This Row],[Date]])</f>
        <v>2018</v>
      </c>
      <c r="F580" s="5">
        <v>64.166666666669997</v>
      </c>
      <c r="G580" s="2">
        <f ca="1">ROUND(IFERROR((Fuel_prices[[#This Row],[Crude_Oil_Price]]-OFFSET(Fuel_prices[[#This Row],[Crude_Oil_Price]],-1,0)),0),2)</f>
        <v>0.71</v>
      </c>
      <c r="H580" s="2">
        <f ca="1">ROUND((IFERROR((Fuel_prices[[#This Row],[Crude_Oil_Price]]-OFFSET(Fuel_prices[[#This Row],[Crude_Oil_Price]],-1,0))/(OFFSET(Fuel_prices[[#This Row],[Crude_Oil_Price]],-1,0)),0))*100,2)</f>
        <v>1.1100000000000001</v>
      </c>
      <c r="I580" s="2" t="str" cm="1">
        <f t="array" aca="1" ref="I580" ca="1">_xlfn.IFS(
    ABS(Fuel_prices[[#This Row],[%_change]])&gt;50,"SEVERE IMPACT",
    ABS(Fuel_prices[[#This Row],[%_change]])&gt;25,"HIGH IMPACT",
    ABS(Fuel_prices[[#This Row],[%_change]])&gt;5,"MID IMPACT",
    ABS(Fuel_prices[[#This Row],[%_change]])&lt;=5,"LITTLE IMPACT"
)</f>
        <v>LITTLE IMPACT</v>
      </c>
    </row>
    <row r="581" spans="1:9" x14ac:dyDescent="0.25">
      <c r="A581" s="4">
        <v>43191</v>
      </c>
      <c r="B581" s="6" t="str">
        <f>_xlfn.CONCAT("Q",CEILING(Fuel_prices[[#This Row],[Month]]/3,1))</f>
        <v>Q2</v>
      </c>
      <c r="C581" s="6">
        <f>MONTH(Fuel_prices[[#This Row],[Date]])</f>
        <v>4</v>
      </c>
      <c r="D581" s="6" t="str">
        <f>TEXT(Fuel_prices[[#This Row],[Date]],"mmm")</f>
        <v>Apr</v>
      </c>
      <c r="E581" s="6">
        <f>YEAR(Fuel_prices[[#This Row],[Date]])</f>
        <v>2018</v>
      </c>
      <c r="F581" s="5">
        <v>68.793333333329997</v>
      </c>
      <c r="G581" s="2">
        <f ca="1">ROUND(IFERROR((Fuel_prices[[#This Row],[Crude_Oil_Price]]-OFFSET(Fuel_prices[[#This Row],[Crude_Oil_Price]],-1,0)),0),2)</f>
        <v>4.63</v>
      </c>
      <c r="H581" s="2">
        <f ca="1">ROUND((IFERROR((Fuel_prices[[#This Row],[Crude_Oil_Price]]-OFFSET(Fuel_prices[[#This Row],[Crude_Oil_Price]],-1,0))/(OFFSET(Fuel_prices[[#This Row],[Crude_Oil_Price]],-1,0)),0))*100,2)</f>
        <v>7.21</v>
      </c>
      <c r="I581" s="2" t="str" cm="1">
        <f t="array" aca="1" ref="I581" ca="1">_xlfn.IFS(
    ABS(Fuel_prices[[#This Row],[%_change]])&gt;50,"SEVERE IMPACT",
    ABS(Fuel_prices[[#This Row],[%_change]])&gt;25,"HIGH IMPACT",
    ABS(Fuel_prices[[#This Row],[%_change]])&gt;5,"MID IMPACT",
    ABS(Fuel_prices[[#This Row],[%_change]])&lt;=5,"LITTLE IMPACT"
)</f>
        <v>MID IMPACT</v>
      </c>
    </row>
    <row r="582" spans="1:9" x14ac:dyDescent="0.25">
      <c r="A582" s="4">
        <v>43221</v>
      </c>
      <c r="B582" s="6" t="str">
        <f>_xlfn.CONCAT("Q",CEILING(Fuel_prices[[#This Row],[Month]]/3,1))</f>
        <v>Q2</v>
      </c>
      <c r="C582" s="6">
        <f>MONTH(Fuel_prices[[#This Row],[Date]])</f>
        <v>5</v>
      </c>
      <c r="D582" s="6" t="str">
        <f>TEXT(Fuel_prices[[#This Row],[Date]],"mmm")</f>
        <v>May</v>
      </c>
      <c r="E582" s="6">
        <f>YEAR(Fuel_prices[[#This Row],[Date]])</f>
        <v>2018</v>
      </c>
      <c r="F582" s="5">
        <v>73.430000000000007</v>
      </c>
      <c r="G582" s="2">
        <f ca="1">ROUND(IFERROR((Fuel_prices[[#This Row],[Crude_Oil_Price]]-OFFSET(Fuel_prices[[#This Row],[Crude_Oil_Price]],-1,0)),0),2)</f>
        <v>4.6399999999999997</v>
      </c>
      <c r="H582" s="2">
        <f ca="1">ROUND((IFERROR((Fuel_prices[[#This Row],[Crude_Oil_Price]]-OFFSET(Fuel_prices[[#This Row],[Crude_Oil_Price]],-1,0))/(OFFSET(Fuel_prices[[#This Row],[Crude_Oil_Price]],-1,0)),0))*100,2)</f>
        <v>6.74</v>
      </c>
      <c r="I582" s="2" t="str" cm="1">
        <f t="array" aca="1" ref="I582" ca="1">_xlfn.IFS(
    ABS(Fuel_prices[[#This Row],[%_change]])&gt;50,"SEVERE IMPACT",
    ABS(Fuel_prices[[#This Row],[%_change]])&gt;25,"HIGH IMPACT",
    ABS(Fuel_prices[[#This Row],[%_change]])&gt;5,"MID IMPACT",
    ABS(Fuel_prices[[#This Row],[%_change]])&lt;=5,"LITTLE IMPACT"
)</f>
        <v>MID IMPACT</v>
      </c>
    </row>
    <row r="583" spans="1:9" x14ac:dyDescent="0.25">
      <c r="A583" s="4">
        <v>43252</v>
      </c>
      <c r="B583" s="6" t="str">
        <f>_xlfn.CONCAT("Q",CEILING(Fuel_prices[[#This Row],[Month]]/3,1))</f>
        <v>Q2</v>
      </c>
      <c r="C583" s="6">
        <f>MONTH(Fuel_prices[[#This Row],[Date]])</f>
        <v>6</v>
      </c>
      <c r="D583" s="6" t="str">
        <f>TEXT(Fuel_prices[[#This Row],[Date]],"mmm")</f>
        <v>Jun</v>
      </c>
      <c r="E583" s="6">
        <f>YEAR(Fuel_prices[[#This Row],[Date]])</f>
        <v>2018</v>
      </c>
      <c r="F583" s="5">
        <v>71.976666666669999</v>
      </c>
      <c r="G583" s="2">
        <f ca="1">ROUND(IFERROR((Fuel_prices[[#This Row],[Crude_Oil_Price]]-OFFSET(Fuel_prices[[#This Row],[Crude_Oil_Price]],-1,0)),0),2)</f>
        <v>-1.45</v>
      </c>
      <c r="H583" s="2">
        <f ca="1">ROUND((IFERROR((Fuel_prices[[#This Row],[Crude_Oil_Price]]-OFFSET(Fuel_prices[[#This Row],[Crude_Oil_Price]],-1,0))/(OFFSET(Fuel_prices[[#This Row],[Crude_Oil_Price]],-1,0)),0))*100,2)</f>
        <v>-1.98</v>
      </c>
      <c r="I583" s="2" t="str" cm="1">
        <f t="array" aca="1" ref="I583" ca="1">_xlfn.IFS(
    ABS(Fuel_prices[[#This Row],[%_change]])&gt;50,"SEVERE IMPACT",
    ABS(Fuel_prices[[#This Row],[%_change]])&gt;25,"HIGH IMPACT",
    ABS(Fuel_prices[[#This Row],[%_change]])&gt;5,"MID IMPACT",
    ABS(Fuel_prices[[#This Row],[%_change]])&lt;=5,"LITTLE IMPACT"
)</f>
        <v>LITTLE IMPACT</v>
      </c>
    </row>
    <row r="584" spans="1:9" x14ac:dyDescent="0.25">
      <c r="A584" s="4">
        <v>43282</v>
      </c>
      <c r="B584" s="6" t="str">
        <f>_xlfn.CONCAT("Q",CEILING(Fuel_prices[[#This Row],[Month]]/3,1))</f>
        <v>Q3</v>
      </c>
      <c r="C584" s="6">
        <f>MONTH(Fuel_prices[[#This Row],[Date]])</f>
        <v>7</v>
      </c>
      <c r="D584" s="6" t="str">
        <f>TEXT(Fuel_prices[[#This Row],[Date]],"mmm")</f>
        <v>Jul</v>
      </c>
      <c r="E584" s="6">
        <f>YEAR(Fuel_prices[[#This Row],[Date]])</f>
        <v>2018</v>
      </c>
      <c r="F584" s="5">
        <v>72.666666666669997</v>
      </c>
      <c r="G584" s="2">
        <f ca="1">ROUND(IFERROR((Fuel_prices[[#This Row],[Crude_Oil_Price]]-OFFSET(Fuel_prices[[#This Row],[Crude_Oil_Price]],-1,0)),0),2)</f>
        <v>0.69</v>
      </c>
      <c r="H584" s="2">
        <f ca="1">ROUND((IFERROR((Fuel_prices[[#This Row],[Crude_Oil_Price]]-OFFSET(Fuel_prices[[#This Row],[Crude_Oil_Price]],-1,0))/(OFFSET(Fuel_prices[[#This Row],[Crude_Oil_Price]],-1,0)),0))*100,2)</f>
        <v>0.96</v>
      </c>
      <c r="I584" s="2" t="str" cm="1">
        <f t="array" aca="1" ref="I584" ca="1">_xlfn.IFS(
    ABS(Fuel_prices[[#This Row],[%_change]])&gt;50,"SEVERE IMPACT",
    ABS(Fuel_prices[[#This Row],[%_change]])&gt;25,"HIGH IMPACT",
    ABS(Fuel_prices[[#This Row],[%_change]])&gt;5,"MID IMPACT",
    ABS(Fuel_prices[[#This Row],[%_change]])&lt;=5,"LITTLE IMPACT"
)</f>
        <v>LITTLE IMPACT</v>
      </c>
    </row>
    <row r="585" spans="1:9" x14ac:dyDescent="0.25">
      <c r="A585" s="4">
        <v>43313</v>
      </c>
      <c r="B585" s="6" t="str">
        <f>_xlfn.CONCAT("Q",CEILING(Fuel_prices[[#This Row],[Month]]/3,1))</f>
        <v>Q3</v>
      </c>
      <c r="C585" s="6">
        <f>MONTH(Fuel_prices[[#This Row],[Date]])</f>
        <v>8</v>
      </c>
      <c r="D585" s="6" t="str">
        <f>TEXT(Fuel_prices[[#This Row],[Date]],"mmm")</f>
        <v>Aug</v>
      </c>
      <c r="E585" s="6">
        <f>YEAR(Fuel_prices[[#This Row],[Date]])</f>
        <v>2018</v>
      </c>
      <c r="F585" s="5">
        <v>71.083333333330003</v>
      </c>
      <c r="G585" s="2">
        <f ca="1">ROUND(IFERROR((Fuel_prices[[#This Row],[Crude_Oil_Price]]-OFFSET(Fuel_prices[[#This Row],[Crude_Oil_Price]],-1,0)),0),2)</f>
        <v>-1.58</v>
      </c>
      <c r="H585" s="2">
        <f ca="1">ROUND((IFERROR((Fuel_prices[[#This Row],[Crude_Oil_Price]]-OFFSET(Fuel_prices[[#This Row],[Crude_Oil_Price]],-1,0))/(OFFSET(Fuel_prices[[#This Row],[Crude_Oil_Price]],-1,0)),0))*100,2)</f>
        <v>-2.1800000000000002</v>
      </c>
      <c r="I585" s="2" t="str" cm="1">
        <f t="array" aca="1" ref="I585" ca="1">_xlfn.IFS(
    ABS(Fuel_prices[[#This Row],[%_change]])&gt;50,"SEVERE IMPACT",
    ABS(Fuel_prices[[#This Row],[%_change]])&gt;25,"HIGH IMPACT",
    ABS(Fuel_prices[[#This Row],[%_change]])&gt;5,"MID IMPACT",
    ABS(Fuel_prices[[#This Row],[%_change]])&lt;=5,"LITTLE IMPACT"
)</f>
        <v>LITTLE IMPACT</v>
      </c>
    </row>
    <row r="586" spans="1:9" x14ac:dyDescent="0.25">
      <c r="A586" s="4">
        <v>43344</v>
      </c>
      <c r="B586" s="6" t="str">
        <f>_xlfn.CONCAT("Q",CEILING(Fuel_prices[[#This Row],[Month]]/3,1))</f>
        <v>Q3</v>
      </c>
      <c r="C586" s="6">
        <f>MONTH(Fuel_prices[[#This Row],[Date]])</f>
        <v>9</v>
      </c>
      <c r="D586" s="6" t="str">
        <f>TEXT(Fuel_prices[[#This Row],[Date]],"mmm")</f>
        <v>Sep</v>
      </c>
      <c r="E586" s="6">
        <f>YEAR(Fuel_prices[[#This Row],[Date]])</f>
        <v>2018</v>
      </c>
      <c r="F586" s="5">
        <v>75.363333333330004</v>
      </c>
      <c r="G586" s="2">
        <f ca="1">ROUND(IFERROR((Fuel_prices[[#This Row],[Crude_Oil_Price]]-OFFSET(Fuel_prices[[#This Row],[Crude_Oil_Price]],-1,0)),0),2)</f>
        <v>4.28</v>
      </c>
      <c r="H586" s="2">
        <f ca="1">ROUND((IFERROR((Fuel_prices[[#This Row],[Crude_Oil_Price]]-OFFSET(Fuel_prices[[#This Row],[Crude_Oil_Price]],-1,0))/(OFFSET(Fuel_prices[[#This Row],[Crude_Oil_Price]],-1,0)),0))*100,2)</f>
        <v>6.02</v>
      </c>
      <c r="I586" s="2" t="str" cm="1">
        <f t="array" aca="1" ref="I586" ca="1">_xlfn.IFS(
    ABS(Fuel_prices[[#This Row],[%_change]])&gt;50,"SEVERE IMPACT",
    ABS(Fuel_prices[[#This Row],[%_change]])&gt;25,"HIGH IMPACT",
    ABS(Fuel_prices[[#This Row],[%_change]])&gt;5,"MID IMPACT",
    ABS(Fuel_prices[[#This Row],[%_change]])&lt;=5,"LITTLE IMPACT"
)</f>
        <v>MID IMPACT</v>
      </c>
    </row>
    <row r="587" spans="1:9" x14ac:dyDescent="0.25">
      <c r="A587" s="4">
        <v>43374</v>
      </c>
      <c r="B587" s="6" t="str">
        <f>_xlfn.CONCAT("Q",CEILING(Fuel_prices[[#This Row],[Month]]/3,1))</f>
        <v>Q4</v>
      </c>
      <c r="C587" s="6">
        <f>MONTH(Fuel_prices[[#This Row],[Date]])</f>
        <v>10</v>
      </c>
      <c r="D587" s="6" t="str">
        <f>TEXT(Fuel_prices[[#This Row],[Date]],"mmm")</f>
        <v>Oct</v>
      </c>
      <c r="E587" s="6">
        <f>YEAR(Fuel_prices[[#This Row],[Date]])</f>
        <v>2018</v>
      </c>
      <c r="F587" s="5">
        <v>76.726666666669999</v>
      </c>
      <c r="G587" s="2">
        <f ca="1">ROUND(IFERROR((Fuel_prices[[#This Row],[Crude_Oil_Price]]-OFFSET(Fuel_prices[[#This Row],[Crude_Oil_Price]],-1,0)),0),2)</f>
        <v>1.36</v>
      </c>
      <c r="H587" s="2">
        <f ca="1">ROUND((IFERROR((Fuel_prices[[#This Row],[Crude_Oil_Price]]-OFFSET(Fuel_prices[[#This Row],[Crude_Oil_Price]],-1,0))/(OFFSET(Fuel_prices[[#This Row],[Crude_Oil_Price]],-1,0)),0))*100,2)</f>
        <v>1.81</v>
      </c>
      <c r="I587" s="2" t="str" cm="1">
        <f t="array" aca="1" ref="I587" ca="1">_xlfn.IFS(
    ABS(Fuel_prices[[#This Row],[%_change]])&gt;50,"SEVERE IMPACT",
    ABS(Fuel_prices[[#This Row],[%_change]])&gt;25,"HIGH IMPACT",
    ABS(Fuel_prices[[#This Row],[%_change]])&gt;5,"MID IMPACT",
    ABS(Fuel_prices[[#This Row],[%_change]])&lt;=5,"LITTLE IMPACT"
)</f>
        <v>LITTLE IMPACT</v>
      </c>
    </row>
    <row r="588" spans="1:9" x14ac:dyDescent="0.25">
      <c r="A588" s="4">
        <v>43405</v>
      </c>
      <c r="B588" s="6" t="str">
        <f>_xlfn.CONCAT("Q",CEILING(Fuel_prices[[#This Row],[Month]]/3,1))</f>
        <v>Q4</v>
      </c>
      <c r="C588" s="6">
        <f>MONTH(Fuel_prices[[#This Row],[Date]])</f>
        <v>11</v>
      </c>
      <c r="D588" s="6" t="str">
        <f>TEXT(Fuel_prices[[#This Row],[Date]],"mmm")</f>
        <v>Nov</v>
      </c>
      <c r="E588" s="6">
        <f>YEAR(Fuel_prices[[#This Row],[Date]])</f>
        <v>2018</v>
      </c>
      <c r="F588" s="5">
        <v>62.316666666670002</v>
      </c>
      <c r="G588" s="2">
        <f ca="1">ROUND(IFERROR((Fuel_prices[[#This Row],[Crude_Oil_Price]]-OFFSET(Fuel_prices[[#This Row],[Crude_Oil_Price]],-1,0)),0),2)</f>
        <v>-14.41</v>
      </c>
      <c r="H588" s="2">
        <f ca="1">ROUND((IFERROR((Fuel_prices[[#This Row],[Crude_Oil_Price]]-OFFSET(Fuel_prices[[#This Row],[Crude_Oil_Price]],-1,0))/(OFFSET(Fuel_prices[[#This Row],[Crude_Oil_Price]],-1,0)),0))*100,2)</f>
        <v>-18.78</v>
      </c>
      <c r="I588" s="2" t="str" cm="1">
        <f t="array" aca="1" ref="I588" ca="1">_xlfn.IFS(
    ABS(Fuel_prices[[#This Row],[%_change]])&gt;50,"SEVERE IMPACT",
    ABS(Fuel_prices[[#This Row],[%_change]])&gt;25,"HIGH IMPACT",
    ABS(Fuel_prices[[#This Row],[%_change]])&gt;5,"MID IMPACT",
    ABS(Fuel_prices[[#This Row],[%_change]])&lt;=5,"LITTLE IMPACT"
)</f>
        <v>MID IMPACT</v>
      </c>
    </row>
    <row r="589" spans="1:9" x14ac:dyDescent="0.25">
      <c r="A589" s="4">
        <v>43435</v>
      </c>
      <c r="B589" s="6" t="str">
        <f>_xlfn.CONCAT("Q",CEILING(Fuel_prices[[#This Row],[Month]]/3,1))</f>
        <v>Q4</v>
      </c>
      <c r="C589" s="6">
        <f>MONTH(Fuel_prices[[#This Row],[Date]])</f>
        <v>12</v>
      </c>
      <c r="D589" s="6" t="str">
        <f>TEXT(Fuel_prices[[#This Row],[Date]],"mmm")</f>
        <v>Dec</v>
      </c>
      <c r="E589" s="6">
        <f>YEAR(Fuel_prices[[#This Row],[Date]])</f>
        <v>2018</v>
      </c>
      <c r="F589" s="5">
        <v>53.96</v>
      </c>
      <c r="G589" s="2">
        <f ca="1">ROUND(IFERROR((Fuel_prices[[#This Row],[Crude_Oil_Price]]-OFFSET(Fuel_prices[[#This Row],[Crude_Oil_Price]],-1,0)),0),2)</f>
        <v>-8.36</v>
      </c>
      <c r="H589" s="2">
        <f ca="1">ROUND((IFERROR((Fuel_prices[[#This Row],[Crude_Oil_Price]]-OFFSET(Fuel_prices[[#This Row],[Crude_Oil_Price]],-1,0))/(OFFSET(Fuel_prices[[#This Row],[Crude_Oil_Price]],-1,0)),0))*100,2)</f>
        <v>-13.41</v>
      </c>
      <c r="I589" s="2" t="str" cm="1">
        <f t="array" aca="1" ref="I589" ca="1">_xlfn.IFS(
    ABS(Fuel_prices[[#This Row],[%_change]])&gt;50,"SEVERE IMPACT",
    ABS(Fuel_prices[[#This Row],[%_change]])&gt;25,"HIGH IMPACT",
    ABS(Fuel_prices[[#This Row],[%_change]])&gt;5,"MID IMPACT",
    ABS(Fuel_prices[[#This Row],[%_change]])&lt;=5,"LITTLE IMPACT"
)</f>
        <v>MID IMPACT</v>
      </c>
    </row>
    <row r="590" spans="1:9" x14ac:dyDescent="0.25">
      <c r="A590" s="4">
        <v>43466</v>
      </c>
      <c r="B590" s="6" t="str">
        <f>_xlfn.CONCAT("Q",CEILING(Fuel_prices[[#This Row],[Month]]/3,1))</f>
        <v>Q1</v>
      </c>
      <c r="C590" s="6">
        <f>MONTH(Fuel_prices[[#This Row],[Date]])</f>
        <v>1</v>
      </c>
      <c r="D590" s="6" t="str">
        <f>TEXT(Fuel_prices[[#This Row],[Date]],"mmm")</f>
        <v>Jan</v>
      </c>
      <c r="E590" s="6">
        <f>YEAR(Fuel_prices[[#This Row],[Date]])</f>
        <v>2019</v>
      </c>
      <c r="F590" s="5">
        <v>56.583333333330003</v>
      </c>
      <c r="G590" s="2">
        <f ca="1">ROUND(IFERROR((Fuel_prices[[#This Row],[Crude_Oil_Price]]-OFFSET(Fuel_prices[[#This Row],[Crude_Oil_Price]],-1,0)),0),2)</f>
        <v>2.62</v>
      </c>
      <c r="H590" s="2">
        <f ca="1">ROUND((IFERROR((Fuel_prices[[#This Row],[Crude_Oil_Price]]-OFFSET(Fuel_prices[[#This Row],[Crude_Oil_Price]],-1,0))/(OFFSET(Fuel_prices[[#This Row],[Crude_Oil_Price]],-1,0)),0))*100,2)</f>
        <v>4.8600000000000003</v>
      </c>
      <c r="I590" s="2" t="str" cm="1">
        <f t="array" aca="1" ref="I590" ca="1">_xlfn.IFS(
    ABS(Fuel_prices[[#This Row],[%_change]])&gt;50,"SEVERE IMPACT",
    ABS(Fuel_prices[[#This Row],[%_change]])&gt;25,"HIGH IMPACT",
    ABS(Fuel_prices[[#This Row],[%_change]])&gt;5,"MID IMPACT",
    ABS(Fuel_prices[[#This Row],[%_change]])&lt;=5,"LITTLE IMPACT"
)</f>
        <v>LITTLE IMPACT</v>
      </c>
    </row>
    <row r="591" spans="1:9" x14ac:dyDescent="0.25">
      <c r="A591" s="4">
        <v>43497</v>
      </c>
      <c r="B591" s="6" t="str">
        <f>_xlfn.CONCAT("Q",CEILING(Fuel_prices[[#This Row],[Month]]/3,1))</f>
        <v>Q1</v>
      </c>
      <c r="C591" s="6">
        <f>MONTH(Fuel_prices[[#This Row],[Date]])</f>
        <v>2</v>
      </c>
      <c r="D591" s="6" t="str">
        <f>TEXT(Fuel_prices[[#This Row],[Date]],"mmm")</f>
        <v>Feb</v>
      </c>
      <c r="E591" s="6">
        <f>YEAR(Fuel_prices[[#This Row],[Date]])</f>
        <v>2019</v>
      </c>
      <c r="F591" s="5">
        <v>61.13333333333</v>
      </c>
      <c r="G591" s="2">
        <f ca="1">ROUND(IFERROR((Fuel_prices[[#This Row],[Crude_Oil_Price]]-OFFSET(Fuel_prices[[#This Row],[Crude_Oil_Price]],-1,0)),0),2)</f>
        <v>4.55</v>
      </c>
      <c r="H591" s="2">
        <f ca="1">ROUND((IFERROR((Fuel_prices[[#This Row],[Crude_Oil_Price]]-OFFSET(Fuel_prices[[#This Row],[Crude_Oil_Price]],-1,0))/(OFFSET(Fuel_prices[[#This Row],[Crude_Oil_Price]],-1,0)),0))*100,2)</f>
        <v>8.0399999999999991</v>
      </c>
      <c r="I591" s="2" t="str" cm="1">
        <f t="array" aca="1" ref="I591" ca="1">_xlfn.IFS(
    ABS(Fuel_prices[[#This Row],[%_change]])&gt;50,"SEVERE IMPACT",
    ABS(Fuel_prices[[#This Row],[%_change]])&gt;25,"HIGH IMPACT",
    ABS(Fuel_prices[[#This Row],[%_change]])&gt;5,"MID IMPACT",
    ABS(Fuel_prices[[#This Row],[%_change]])&lt;=5,"LITTLE IMPACT"
)</f>
        <v>MID IMPACT</v>
      </c>
    </row>
    <row r="592" spans="1:9" x14ac:dyDescent="0.25">
      <c r="A592" s="4">
        <v>43525</v>
      </c>
      <c r="B592" s="6" t="str">
        <f>_xlfn.CONCAT("Q",CEILING(Fuel_prices[[#This Row],[Month]]/3,1))</f>
        <v>Q1</v>
      </c>
      <c r="C592" s="6">
        <f>MONTH(Fuel_prices[[#This Row],[Date]])</f>
        <v>3</v>
      </c>
      <c r="D592" s="6" t="str">
        <f>TEXT(Fuel_prices[[#This Row],[Date]],"mmm")</f>
        <v>Mar</v>
      </c>
      <c r="E592" s="6">
        <f>YEAR(Fuel_prices[[#This Row],[Date]])</f>
        <v>2019</v>
      </c>
      <c r="F592" s="5">
        <v>63.786666666670001</v>
      </c>
      <c r="G592" s="2">
        <f ca="1">ROUND(IFERROR((Fuel_prices[[#This Row],[Crude_Oil_Price]]-OFFSET(Fuel_prices[[#This Row],[Crude_Oil_Price]],-1,0)),0),2)</f>
        <v>2.65</v>
      </c>
      <c r="H592" s="2">
        <f ca="1">ROUND((IFERROR((Fuel_prices[[#This Row],[Crude_Oil_Price]]-OFFSET(Fuel_prices[[#This Row],[Crude_Oil_Price]],-1,0))/(OFFSET(Fuel_prices[[#This Row],[Crude_Oil_Price]],-1,0)),0))*100,2)</f>
        <v>4.34</v>
      </c>
      <c r="I592" s="2" t="str" cm="1">
        <f t="array" aca="1" ref="I592" ca="1">_xlfn.IFS(
    ABS(Fuel_prices[[#This Row],[%_change]])&gt;50,"SEVERE IMPACT",
    ABS(Fuel_prices[[#This Row],[%_change]])&gt;25,"HIGH IMPACT",
    ABS(Fuel_prices[[#This Row],[%_change]])&gt;5,"MID IMPACT",
    ABS(Fuel_prices[[#This Row],[%_change]])&lt;=5,"LITTLE IMPACT"
)</f>
        <v>LITTLE IMPACT</v>
      </c>
    </row>
    <row r="593" spans="1:9" x14ac:dyDescent="0.25">
      <c r="A593" s="4">
        <v>43556</v>
      </c>
      <c r="B593" s="6" t="str">
        <f>_xlfn.CONCAT("Q",CEILING(Fuel_prices[[#This Row],[Month]]/3,1))</f>
        <v>Q2</v>
      </c>
      <c r="C593" s="6">
        <f>MONTH(Fuel_prices[[#This Row],[Date]])</f>
        <v>4</v>
      </c>
      <c r="D593" s="6" t="str">
        <f>TEXT(Fuel_prices[[#This Row],[Date]],"mmm")</f>
        <v>Apr</v>
      </c>
      <c r="E593" s="6">
        <f>YEAR(Fuel_prices[[#This Row],[Date]])</f>
        <v>2019</v>
      </c>
      <c r="F593" s="5">
        <v>68.576666666669993</v>
      </c>
      <c r="G593" s="2">
        <f ca="1">ROUND(IFERROR((Fuel_prices[[#This Row],[Crude_Oil_Price]]-OFFSET(Fuel_prices[[#This Row],[Crude_Oil_Price]],-1,0)),0),2)</f>
        <v>4.79</v>
      </c>
      <c r="H593" s="2">
        <f ca="1">ROUND((IFERROR((Fuel_prices[[#This Row],[Crude_Oil_Price]]-OFFSET(Fuel_prices[[#This Row],[Crude_Oil_Price]],-1,0))/(OFFSET(Fuel_prices[[#This Row],[Crude_Oil_Price]],-1,0)),0))*100,2)</f>
        <v>7.51</v>
      </c>
      <c r="I593" s="2" t="str" cm="1">
        <f t="array" aca="1" ref="I593" ca="1">_xlfn.IFS(
    ABS(Fuel_prices[[#This Row],[%_change]])&gt;50,"SEVERE IMPACT",
    ABS(Fuel_prices[[#This Row],[%_change]])&gt;25,"HIGH IMPACT",
    ABS(Fuel_prices[[#This Row],[%_change]])&gt;5,"MID IMPACT",
    ABS(Fuel_prices[[#This Row],[%_change]])&lt;=5,"LITTLE IMPACT"
)</f>
        <v>MID IMPACT</v>
      </c>
    </row>
    <row r="594" spans="1:9" x14ac:dyDescent="0.25">
      <c r="A594" s="4">
        <v>43586</v>
      </c>
      <c r="B594" s="6" t="str">
        <f>_xlfn.CONCAT("Q",CEILING(Fuel_prices[[#This Row],[Month]]/3,1))</f>
        <v>Q2</v>
      </c>
      <c r="C594" s="6">
        <f>MONTH(Fuel_prices[[#This Row],[Date]])</f>
        <v>5</v>
      </c>
      <c r="D594" s="6" t="str">
        <f>TEXT(Fuel_prices[[#This Row],[Date]],"mmm")</f>
        <v>May</v>
      </c>
      <c r="E594" s="6">
        <f>YEAR(Fuel_prices[[#This Row],[Date]])</f>
        <v>2019</v>
      </c>
      <c r="F594" s="5">
        <v>66.833333333330003</v>
      </c>
      <c r="G594" s="2">
        <f ca="1">ROUND(IFERROR((Fuel_prices[[#This Row],[Crude_Oil_Price]]-OFFSET(Fuel_prices[[#This Row],[Crude_Oil_Price]],-1,0)),0),2)</f>
        <v>-1.74</v>
      </c>
      <c r="H594" s="2">
        <f ca="1">ROUND((IFERROR((Fuel_prices[[#This Row],[Crude_Oil_Price]]-OFFSET(Fuel_prices[[#This Row],[Crude_Oil_Price]],-1,0))/(OFFSET(Fuel_prices[[#This Row],[Crude_Oil_Price]],-1,0)),0))*100,2)</f>
        <v>-2.54</v>
      </c>
      <c r="I594" s="2" t="str" cm="1">
        <f t="array" aca="1" ref="I594" ca="1">_xlfn.IFS(
    ABS(Fuel_prices[[#This Row],[%_change]])&gt;50,"SEVERE IMPACT",
    ABS(Fuel_prices[[#This Row],[%_change]])&gt;25,"HIGH IMPACT",
    ABS(Fuel_prices[[#This Row],[%_change]])&gt;5,"MID IMPACT",
    ABS(Fuel_prices[[#This Row],[%_change]])&lt;=5,"LITTLE IMPACT"
)</f>
        <v>LITTLE IMPACT</v>
      </c>
    </row>
    <row r="595" spans="1:9" x14ac:dyDescent="0.25">
      <c r="A595" s="4">
        <v>43617</v>
      </c>
      <c r="B595" s="6" t="str">
        <f>_xlfn.CONCAT("Q",CEILING(Fuel_prices[[#This Row],[Month]]/3,1))</f>
        <v>Q2</v>
      </c>
      <c r="C595" s="6">
        <f>MONTH(Fuel_prices[[#This Row],[Date]])</f>
        <v>6</v>
      </c>
      <c r="D595" s="6" t="str">
        <f>TEXT(Fuel_prices[[#This Row],[Date]],"mmm")</f>
        <v>Jun</v>
      </c>
      <c r="E595" s="6">
        <f>YEAR(Fuel_prices[[#This Row],[Date]])</f>
        <v>2019</v>
      </c>
      <c r="F595" s="5">
        <v>59.76</v>
      </c>
      <c r="G595" s="2">
        <f ca="1">ROUND(IFERROR((Fuel_prices[[#This Row],[Crude_Oil_Price]]-OFFSET(Fuel_prices[[#This Row],[Crude_Oil_Price]],-1,0)),0),2)</f>
        <v>-7.07</v>
      </c>
      <c r="H595" s="2">
        <f ca="1">ROUND((IFERROR((Fuel_prices[[#This Row],[Crude_Oil_Price]]-OFFSET(Fuel_prices[[#This Row],[Crude_Oil_Price]],-1,0))/(OFFSET(Fuel_prices[[#This Row],[Crude_Oil_Price]],-1,0)),0))*100,2)</f>
        <v>-10.58</v>
      </c>
      <c r="I595" s="2" t="str" cm="1">
        <f t="array" aca="1" ref="I595" ca="1">_xlfn.IFS(
    ABS(Fuel_prices[[#This Row],[%_change]])&gt;50,"SEVERE IMPACT",
    ABS(Fuel_prices[[#This Row],[%_change]])&gt;25,"HIGH IMPACT",
    ABS(Fuel_prices[[#This Row],[%_change]])&gt;5,"MID IMPACT",
    ABS(Fuel_prices[[#This Row],[%_change]])&lt;=5,"LITTLE IMPACT"
)</f>
        <v>MID IMPACT</v>
      </c>
    </row>
    <row r="596" spans="1:9" x14ac:dyDescent="0.25">
      <c r="A596" s="4">
        <v>43647</v>
      </c>
      <c r="B596" s="6" t="str">
        <f>_xlfn.CONCAT("Q",CEILING(Fuel_prices[[#This Row],[Month]]/3,1))</f>
        <v>Q3</v>
      </c>
      <c r="C596" s="6">
        <f>MONTH(Fuel_prices[[#This Row],[Date]])</f>
        <v>7</v>
      </c>
      <c r="D596" s="6" t="str">
        <f>TEXT(Fuel_prices[[#This Row],[Date]],"mmm")</f>
        <v>Jul</v>
      </c>
      <c r="E596" s="6">
        <f>YEAR(Fuel_prices[[#This Row],[Date]])</f>
        <v>2019</v>
      </c>
      <c r="F596" s="5">
        <v>61.476666666669999</v>
      </c>
      <c r="G596" s="2">
        <f ca="1">ROUND(IFERROR((Fuel_prices[[#This Row],[Crude_Oil_Price]]-OFFSET(Fuel_prices[[#This Row],[Crude_Oil_Price]],-1,0)),0),2)</f>
        <v>1.72</v>
      </c>
      <c r="H596" s="2">
        <f ca="1">ROUND((IFERROR((Fuel_prices[[#This Row],[Crude_Oil_Price]]-OFFSET(Fuel_prices[[#This Row],[Crude_Oil_Price]],-1,0))/(OFFSET(Fuel_prices[[#This Row],[Crude_Oil_Price]],-1,0)),0))*100,2)</f>
        <v>2.87</v>
      </c>
      <c r="I596" s="2" t="str" cm="1">
        <f t="array" aca="1" ref="I596" ca="1">_xlfn.IFS(
    ABS(Fuel_prices[[#This Row],[%_change]])&gt;50,"SEVERE IMPACT",
    ABS(Fuel_prices[[#This Row],[%_change]])&gt;25,"HIGH IMPACT",
    ABS(Fuel_prices[[#This Row],[%_change]])&gt;5,"MID IMPACT",
    ABS(Fuel_prices[[#This Row],[%_change]])&lt;=5,"LITTLE IMPACT"
)</f>
        <v>LITTLE IMPACT</v>
      </c>
    </row>
    <row r="597" spans="1:9" x14ac:dyDescent="0.25">
      <c r="A597" s="4">
        <v>43678</v>
      </c>
      <c r="B597" s="6" t="str">
        <f>_xlfn.CONCAT("Q",CEILING(Fuel_prices[[#This Row],[Month]]/3,1))</f>
        <v>Q3</v>
      </c>
      <c r="C597" s="6">
        <f>MONTH(Fuel_prices[[#This Row],[Date]])</f>
        <v>8</v>
      </c>
      <c r="D597" s="6" t="str">
        <f>TEXT(Fuel_prices[[#This Row],[Date]],"mmm")</f>
        <v>Aug</v>
      </c>
      <c r="E597" s="6">
        <f>YEAR(Fuel_prices[[#This Row],[Date]])</f>
        <v>2019</v>
      </c>
      <c r="F597" s="5">
        <v>57.67</v>
      </c>
      <c r="G597" s="2">
        <f ca="1">ROUND(IFERROR((Fuel_prices[[#This Row],[Crude_Oil_Price]]-OFFSET(Fuel_prices[[#This Row],[Crude_Oil_Price]],-1,0)),0),2)</f>
        <v>-3.81</v>
      </c>
      <c r="H597" s="2">
        <f ca="1">ROUND((IFERROR((Fuel_prices[[#This Row],[Crude_Oil_Price]]-OFFSET(Fuel_prices[[#This Row],[Crude_Oil_Price]],-1,0))/(OFFSET(Fuel_prices[[#This Row],[Crude_Oil_Price]],-1,0)),0))*100,2)</f>
        <v>-6.19</v>
      </c>
      <c r="I597" s="2" t="str" cm="1">
        <f t="array" aca="1" ref="I597" ca="1">_xlfn.IFS(
    ABS(Fuel_prices[[#This Row],[%_change]])&gt;50,"SEVERE IMPACT",
    ABS(Fuel_prices[[#This Row],[%_change]])&gt;25,"HIGH IMPACT",
    ABS(Fuel_prices[[#This Row],[%_change]])&gt;5,"MID IMPACT",
    ABS(Fuel_prices[[#This Row],[%_change]])&lt;=5,"LITTLE IMPACT"
)</f>
        <v>MID IMPACT</v>
      </c>
    </row>
    <row r="598" spans="1:9" x14ac:dyDescent="0.25">
      <c r="A598" s="4">
        <v>43709</v>
      </c>
      <c r="B598" s="6" t="str">
        <f>_xlfn.CONCAT("Q",CEILING(Fuel_prices[[#This Row],[Month]]/3,1))</f>
        <v>Q3</v>
      </c>
      <c r="C598" s="6">
        <f>MONTH(Fuel_prices[[#This Row],[Date]])</f>
        <v>9</v>
      </c>
      <c r="D598" s="6" t="str">
        <f>TEXT(Fuel_prices[[#This Row],[Date]],"mmm")</f>
        <v>Sep</v>
      </c>
      <c r="E598" s="6">
        <f>YEAR(Fuel_prices[[#This Row],[Date]])</f>
        <v>2019</v>
      </c>
      <c r="F598" s="5">
        <v>60.04</v>
      </c>
      <c r="G598" s="2">
        <f ca="1">ROUND(IFERROR((Fuel_prices[[#This Row],[Crude_Oil_Price]]-OFFSET(Fuel_prices[[#This Row],[Crude_Oil_Price]],-1,0)),0),2)</f>
        <v>2.37</v>
      </c>
      <c r="H598" s="2">
        <f ca="1">ROUND((IFERROR((Fuel_prices[[#This Row],[Crude_Oil_Price]]-OFFSET(Fuel_prices[[#This Row],[Crude_Oil_Price]],-1,0))/(OFFSET(Fuel_prices[[#This Row],[Crude_Oil_Price]],-1,0)),0))*100,2)</f>
        <v>4.1100000000000003</v>
      </c>
      <c r="I598" s="2" t="str" cm="1">
        <f t="array" aca="1" ref="I598" ca="1">_xlfn.IFS(
    ABS(Fuel_prices[[#This Row],[%_change]])&gt;50,"SEVERE IMPACT",
    ABS(Fuel_prices[[#This Row],[%_change]])&gt;25,"HIGH IMPACT",
    ABS(Fuel_prices[[#This Row],[%_change]])&gt;5,"MID IMPACT",
    ABS(Fuel_prices[[#This Row],[%_change]])&lt;=5,"LITTLE IMPACT"
)</f>
        <v>LITTLE IMPACT</v>
      </c>
    </row>
    <row r="599" spans="1:9" x14ac:dyDescent="0.25">
      <c r="A599" s="4">
        <v>43739</v>
      </c>
      <c r="B599" s="6" t="str">
        <f>_xlfn.CONCAT("Q",CEILING(Fuel_prices[[#This Row],[Month]]/3,1))</f>
        <v>Q4</v>
      </c>
      <c r="C599" s="6">
        <f>MONTH(Fuel_prices[[#This Row],[Date]])</f>
        <v>10</v>
      </c>
      <c r="D599" s="6" t="str">
        <f>TEXT(Fuel_prices[[#This Row],[Date]],"mmm")</f>
        <v>Oct</v>
      </c>
      <c r="E599" s="6">
        <f>YEAR(Fuel_prices[[#This Row],[Date]])</f>
        <v>2019</v>
      </c>
      <c r="F599" s="5">
        <v>57.273333333330001</v>
      </c>
      <c r="G599" s="2">
        <f ca="1">ROUND(IFERROR((Fuel_prices[[#This Row],[Crude_Oil_Price]]-OFFSET(Fuel_prices[[#This Row],[Crude_Oil_Price]],-1,0)),0),2)</f>
        <v>-2.77</v>
      </c>
      <c r="H599" s="2">
        <f ca="1">ROUND((IFERROR((Fuel_prices[[#This Row],[Crude_Oil_Price]]-OFFSET(Fuel_prices[[#This Row],[Crude_Oil_Price]],-1,0))/(OFFSET(Fuel_prices[[#This Row],[Crude_Oil_Price]],-1,0)),0))*100,2)</f>
        <v>-4.6100000000000003</v>
      </c>
      <c r="I599" s="2" t="str" cm="1">
        <f t="array" aca="1" ref="I599" ca="1">_xlfn.IFS(
    ABS(Fuel_prices[[#This Row],[%_change]])&gt;50,"SEVERE IMPACT",
    ABS(Fuel_prices[[#This Row],[%_change]])&gt;25,"HIGH IMPACT",
    ABS(Fuel_prices[[#This Row],[%_change]])&gt;5,"MID IMPACT",
    ABS(Fuel_prices[[#This Row],[%_change]])&lt;=5,"LITTLE IMPACT"
)</f>
        <v>LITTLE IMPACT</v>
      </c>
    </row>
    <row r="600" spans="1:9" x14ac:dyDescent="0.25">
      <c r="A600" s="4">
        <v>43770</v>
      </c>
      <c r="B600" s="6" t="str">
        <f>_xlfn.CONCAT("Q",CEILING(Fuel_prices[[#This Row],[Month]]/3,1))</f>
        <v>Q4</v>
      </c>
      <c r="C600" s="6">
        <f>MONTH(Fuel_prices[[#This Row],[Date]])</f>
        <v>11</v>
      </c>
      <c r="D600" s="6" t="str">
        <f>TEXT(Fuel_prices[[#This Row],[Date]],"mmm")</f>
        <v>Nov</v>
      </c>
      <c r="E600" s="6">
        <f>YEAR(Fuel_prices[[#This Row],[Date]])</f>
        <v>2019</v>
      </c>
      <c r="F600" s="5">
        <v>60.403333333330004</v>
      </c>
      <c r="G600" s="2">
        <f ca="1">ROUND(IFERROR((Fuel_prices[[#This Row],[Crude_Oil_Price]]-OFFSET(Fuel_prices[[#This Row],[Crude_Oil_Price]],-1,0)),0),2)</f>
        <v>3.13</v>
      </c>
      <c r="H600" s="2">
        <f ca="1">ROUND((IFERROR((Fuel_prices[[#This Row],[Crude_Oil_Price]]-OFFSET(Fuel_prices[[#This Row],[Crude_Oil_Price]],-1,0))/(OFFSET(Fuel_prices[[#This Row],[Crude_Oil_Price]],-1,0)),0))*100,2)</f>
        <v>5.47</v>
      </c>
      <c r="I600" s="2" t="str" cm="1">
        <f t="array" aca="1" ref="I600" ca="1">_xlfn.IFS(
    ABS(Fuel_prices[[#This Row],[%_change]])&gt;50,"SEVERE IMPACT",
    ABS(Fuel_prices[[#This Row],[%_change]])&gt;25,"HIGH IMPACT",
    ABS(Fuel_prices[[#This Row],[%_change]])&gt;5,"MID IMPACT",
    ABS(Fuel_prices[[#This Row],[%_change]])&lt;=5,"LITTLE IMPACT"
)</f>
        <v>MID IMPACT</v>
      </c>
    </row>
    <row r="601" spans="1:9" x14ac:dyDescent="0.25">
      <c r="A601" s="4">
        <v>43800</v>
      </c>
      <c r="B601" s="6" t="str">
        <f>_xlfn.CONCAT("Q",CEILING(Fuel_prices[[#This Row],[Month]]/3,1))</f>
        <v>Q4</v>
      </c>
      <c r="C601" s="6">
        <f>MONTH(Fuel_prices[[#This Row],[Date]])</f>
        <v>12</v>
      </c>
      <c r="D601" s="6" t="str">
        <f>TEXT(Fuel_prices[[#This Row],[Date]],"mmm")</f>
        <v>Dec</v>
      </c>
      <c r="E601" s="6">
        <f>YEAR(Fuel_prices[[#This Row],[Date]])</f>
        <v>2019</v>
      </c>
      <c r="F601" s="5">
        <v>63.353333333329999</v>
      </c>
      <c r="G601" s="2">
        <f ca="1">ROUND(IFERROR((Fuel_prices[[#This Row],[Crude_Oil_Price]]-OFFSET(Fuel_prices[[#This Row],[Crude_Oil_Price]],-1,0)),0),2)</f>
        <v>2.95</v>
      </c>
      <c r="H601" s="2">
        <f ca="1">ROUND((IFERROR((Fuel_prices[[#This Row],[Crude_Oil_Price]]-OFFSET(Fuel_prices[[#This Row],[Crude_Oil_Price]],-1,0))/(OFFSET(Fuel_prices[[#This Row],[Crude_Oil_Price]],-1,0)),0))*100,2)</f>
        <v>4.88</v>
      </c>
      <c r="I601" s="2" t="str" cm="1">
        <f t="array" aca="1" ref="I601" ca="1">_xlfn.IFS(
    ABS(Fuel_prices[[#This Row],[%_change]])&gt;50,"SEVERE IMPACT",
    ABS(Fuel_prices[[#This Row],[%_change]])&gt;25,"HIGH IMPACT",
    ABS(Fuel_prices[[#This Row],[%_change]])&gt;5,"MID IMPACT",
    ABS(Fuel_prices[[#This Row],[%_change]])&lt;=5,"LITTLE IMPACT"
)</f>
        <v>LITTLE IMPACT</v>
      </c>
    </row>
    <row r="602" spans="1:9" x14ac:dyDescent="0.25">
      <c r="A602" s="4">
        <v>43831</v>
      </c>
      <c r="B602" s="6" t="str">
        <f>_xlfn.CONCAT("Q",CEILING(Fuel_prices[[#This Row],[Month]]/3,1))</f>
        <v>Q1</v>
      </c>
      <c r="C602" s="6">
        <f>MONTH(Fuel_prices[[#This Row],[Date]])</f>
        <v>1</v>
      </c>
      <c r="D602" s="6" t="str">
        <f>TEXT(Fuel_prices[[#This Row],[Date]],"mmm")</f>
        <v>Jan</v>
      </c>
      <c r="E602" s="6">
        <f>YEAR(Fuel_prices[[#This Row],[Date]])</f>
        <v>2020</v>
      </c>
      <c r="F602" s="5">
        <v>61.626666666669998</v>
      </c>
      <c r="G602" s="2">
        <f ca="1">ROUND(IFERROR((Fuel_prices[[#This Row],[Crude_Oil_Price]]-OFFSET(Fuel_prices[[#This Row],[Crude_Oil_Price]],-1,0)),0),2)</f>
        <v>-1.73</v>
      </c>
      <c r="H602" s="2">
        <f ca="1">ROUND((IFERROR((Fuel_prices[[#This Row],[Crude_Oil_Price]]-OFFSET(Fuel_prices[[#This Row],[Crude_Oil_Price]],-1,0))/(OFFSET(Fuel_prices[[#This Row],[Crude_Oil_Price]],-1,0)),0))*100,2)</f>
        <v>-2.73</v>
      </c>
      <c r="I602" s="2" t="str" cm="1">
        <f t="array" aca="1" ref="I602" ca="1">_xlfn.IFS(
    ABS(Fuel_prices[[#This Row],[%_change]])&gt;50,"SEVERE IMPACT",
    ABS(Fuel_prices[[#This Row],[%_change]])&gt;25,"HIGH IMPACT",
    ABS(Fuel_prices[[#This Row],[%_change]])&gt;5,"MID IMPACT",
    ABS(Fuel_prices[[#This Row],[%_change]])&lt;=5,"LITTLE IMPACT"
)</f>
        <v>LITTLE IMPACT</v>
      </c>
    </row>
    <row r="603" spans="1:9" x14ac:dyDescent="0.25">
      <c r="A603" s="4">
        <v>43862</v>
      </c>
      <c r="B603" s="6" t="str">
        <f>_xlfn.CONCAT("Q",CEILING(Fuel_prices[[#This Row],[Month]]/3,1))</f>
        <v>Q1</v>
      </c>
      <c r="C603" s="6">
        <f>MONTH(Fuel_prices[[#This Row],[Date]])</f>
        <v>2</v>
      </c>
      <c r="D603" s="6" t="str">
        <f>TEXT(Fuel_prices[[#This Row],[Date]],"mmm")</f>
        <v>Feb</v>
      </c>
      <c r="E603" s="6">
        <f>YEAR(Fuel_prices[[#This Row],[Date]])</f>
        <v>2020</v>
      </c>
      <c r="F603" s="5">
        <v>53.346666666669996</v>
      </c>
      <c r="G603" s="2">
        <f ca="1">ROUND(IFERROR((Fuel_prices[[#This Row],[Crude_Oil_Price]]-OFFSET(Fuel_prices[[#This Row],[Crude_Oil_Price]],-1,0)),0),2)</f>
        <v>-8.2799999999999994</v>
      </c>
      <c r="H603" s="2">
        <f ca="1">ROUND((IFERROR((Fuel_prices[[#This Row],[Crude_Oil_Price]]-OFFSET(Fuel_prices[[#This Row],[Crude_Oil_Price]],-1,0))/(OFFSET(Fuel_prices[[#This Row],[Crude_Oil_Price]],-1,0)),0))*100,2)</f>
        <v>-13.44</v>
      </c>
      <c r="I603" s="2" t="str" cm="1">
        <f t="array" aca="1" ref="I603" ca="1">_xlfn.IFS(
    ABS(Fuel_prices[[#This Row],[%_change]])&gt;50,"SEVERE IMPACT",
    ABS(Fuel_prices[[#This Row],[%_change]])&gt;25,"HIGH IMPACT",
    ABS(Fuel_prices[[#This Row],[%_change]])&gt;5,"MID IMPACT",
    ABS(Fuel_prices[[#This Row],[%_change]])&lt;=5,"LITTLE IMPACT"
)</f>
        <v>MID IMPACT</v>
      </c>
    </row>
    <row r="604" spans="1:9" x14ac:dyDescent="0.25">
      <c r="A604" s="4">
        <v>43891</v>
      </c>
      <c r="B604" s="6" t="str">
        <f>_xlfn.CONCAT("Q",CEILING(Fuel_prices[[#This Row],[Month]]/3,1))</f>
        <v>Q1</v>
      </c>
      <c r="C604" s="6">
        <f>MONTH(Fuel_prices[[#This Row],[Date]])</f>
        <v>3</v>
      </c>
      <c r="D604" s="6" t="str">
        <f>TEXT(Fuel_prices[[#This Row],[Date]],"mmm")</f>
        <v>Mar</v>
      </c>
      <c r="E604" s="6">
        <f>YEAR(Fuel_prices[[#This Row],[Date]])</f>
        <v>2020</v>
      </c>
      <c r="F604" s="5">
        <v>32.203333333330001</v>
      </c>
      <c r="G604" s="2">
        <f ca="1">ROUND(IFERROR((Fuel_prices[[#This Row],[Crude_Oil_Price]]-OFFSET(Fuel_prices[[#This Row],[Crude_Oil_Price]],-1,0)),0),2)</f>
        <v>-21.14</v>
      </c>
      <c r="H604" s="2">
        <f ca="1">ROUND((IFERROR((Fuel_prices[[#This Row],[Crude_Oil_Price]]-OFFSET(Fuel_prices[[#This Row],[Crude_Oil_Price]],-1,0))/(OFFSET(Fuel_prices[[#This Row],[Crude_Oil_Price]],-1,0)),0))*100,2)</f>
        <v>-39.630000000000003</v>
      </c>
      <c r="I604" s="2" t="str" cm="1">
        <f t="array" aca="1" ref="I604" ca="1">_xlfn.IFS(
    ABS(Fuel_prices[[#This Row],[%_change]])&gt;50,"SEVERE IMPACT",
    ABS(Fuel_prices[[#This Row],[%_change]])&gt;25,"HIGH IMPACT",
    ABS(Fuel_prices[[#This Row],[%_change]])&gt;5,"MID IMPACT",
    ABS(Fuel_prices[[#This Row],[%_change]])&lt;=5,"LITTLE IMPACT"
)</f>
        <v>HIGH IMPACT</v>
      </c>
    </row>
    <row r="605" spans="1:9" x14ac:dyDescent="0.25">
      <c r="A605" s="4">
        <v>43922</v>
      </c>
      <c r="B605" s="6" t="str">
        <f>_xlfn.CONCAT("Q",CEILING(Fuel_prices[[#This Row],[Month]]/3,1))</f>
        <v>Q2</v>
      </c>
      <c r="C605" s="6">
        <f>MONTH(Fuel_prices[[#This Row],[Date]])</f>
        <v>4</v>
      </c>
      <c r="D605" s="6" t="str">
        <f>TEXT(Fuel_prices[[#This Row],[Date]],"mmm")</f>
        <v>Apr</v>
      </c>
      <c r="E605" s="6">
        <f>YEAR(Fuel_prices[[#This Row],[Date]])</f>
        <v>2020</v>
      </c>
      <c r="F605" s="5">
        <v>21.043333333330001</v>
      </c>
      <c r="G605" s="2">
        <f ca="1">ROUND(IFERROR((Fuel_prices[[#This Row],[Crude_Oil_Price]]-OFFSET(Fuel_prices[[#This Row],[Crude_Oil_Price]],-1,0)),0),2)</f>
        <v>-11.16</v>
      </c>
      <c r="H605" s="2">
        <f ca="1">ROUND((IFERROR((Fuel_prices[[#This Row],[Crude_Oil_Price]]-OFFSET(Fuel_prices[[#This Row],[Crude_Oil_Price]],-1,0))/(OFFSET(Fuel_prices[[#This Row],[Crude_Oil_Price]],-1,0)),0))*100,2)</f>
        <v>-34.65</v>
      </c>
      <c r="I605" s="2" t="str" cm="1">
        <f t="array" aca="1" ref="I605" ca="1">_xlfn.IFS(
    ABS(Fuel_prices[[#This Row],[%_change]])&gt;50,"SEVERE IMPACT",
    ABS(Fuel_prices[[#This Row],[%_change]])&gt;25,"HIGH IMPACT",
    ABS(Fuel_prices[[#This Row],[%_change]])&gt;5,"MID IMPACT",
    ABS(Fuel_prices[[#This Row],[%_change]])&lt;=5,"LITTLE IMPACT"
)</f>
        <v>HIGH IMPACT</v>
      </c>
    </row>
    <row r="606" spans="1:9" x14ac:dyDescent="0.25">
      <c r="A606" s="4">
        <v>43952</v>
      </c>
      <c r="B606" s="6" t="str">
        <f>_xlfn.CONCAT("Q",CEILING(Fuel_prices[[#This Row],[Month]]/3,1))</f>
        <v>Q2</v>
      </c>
      <c r="C606" s="6">
        <f>MONTH(Fuel_prices[[#This Row],[Date]])</f>
        <v>5</v>
      </c>
      <c r="D606" s="6" t="str">
        <f>TEXT(Fuel_prices[[#This Row],[Date]],"mmm")</f>
        <v>May</v>
      </c>
      <c r="E606" s="6">
        <f>YEAR(Fuel_prices[[#This Row],[Date]])</f>
        <v>2020</v>
      </c>
      <c r="F606" s="5">
        <v>30.38</v>
      </c>
      <c r="G606" s="2">
        <f ca="1">ROUND(IFERROR((Fuel_prices[[#This Row],[Crude_Oil_Price]]-OFFSET(Fuel_prices[[#This Row],[Crude_Oil_Price]],-1,0)),0),2)</f>
        <v>9.34</v>
      </c>
      <c r="H606" s="2">
        <f ca="1">ROUND((IFERROR((Fuel_prices[[#This Row],[Crude_Oil_Price]]-OFFSET(Fuel_prices[[#This Row],[Crude_Oil_Price]],-1,0))/(OFFSET(Fuel_prices[[#This Row],[Crude_Oil_Price]],-1,0)),0))*100,2)</f>
        <v>44.37</v>
      </c>
      <c r="I606" s="2" t="str" cm="1">
        <f t="array" aca="1" ref="I606" ca="1">_xlfn.IFS(
    ABS(Fuel_prices[[#This Row],[%_change]])&gt;50,"SEVERE IMPACT",
    ABS(Fuel_prices[[#This Row],[%_change]])&gt;25,"HIGH IMPACT",
    ABS(Fuel_prices[[#This Row],[%_change]])&gt;5,"MID IMPACT",
    ABS(Fuel_prices[[#This Row],[%_change]])&lt;=5,"LITTLE IMPACT"
)</f>
        <v>HIGH IMPACT</v>
      </c>
    </row>
    <row r="607" spans="1:9" x14ac:dyDescent="0.25">
      <c r="A607" s="4">
        <v>43983</v>
      </c>
      <c r="B607" s="6" t="str">
        <f>_xlfn.CONCAT("Q",CEILING(Fuel_prices[[#This Row],[Month]]/3,1))</f>
        <v>Q2</v>
      </c>
      <c r="C607" s="6">
        <f>MONTH(Fuel_prices[[#This Row],[Date]])</f>
        <v>6</v>
      </c>
      <c r="D607" s="6" t="str">
        <f>TEXT(Fuel_prices[[#This Row],[Date]],"mmm")</f>
        <v>Jun</v>
      </c>
      <c r="E607" s="6">
        <f>YEAR(Fuel_prices[[#This Row],[Date]])</f>
        <v>2020</v>
      </c>
      <c r="F607" s="5">
        <v>39.456666666670003</v>
      </c>
      <c r="G607" s="2">
        <f ca="1">ROUND(IFERROR((Fuel_prices[[#This Row],[Crude_Oil_Price]]-OFFSET(Fuel_prices[[#This Row],[Crude_Oil_Price]],-1,0)),0),2)</f>
        <v>9.08</v>
      </c>
      <c r="H607" s="2">
        <f ca="1">ROUND((IFERROR((Fuel_prices[[#This Row],[Crude_Oil_Price]]-OFFSET(Fuel_prices[[#This Row],[Crude_Oil_Price]],-1,0))/(OFFSET(Fuel_prices[[#This Row],[Crude_Oil_Price]],-1,0)),0))*100,2)</f>
        <v>29.88</v>
      </c>
      <c r="I607" s="2" t="str" cm="1">
        <f t="array" aca="1" ref="I607" ca="1">_xlfn.IFS(
    ABS(Fuel_prices[[#This Row],[%_change]])&gt;50,"SEVERE IMPACT",
    ABS(Fuel_prices[[#This Row],[%_change]])&gt;25,"HIGH IMPACT",
    ABS(Fuel_prices[[#This Row],[%_change]])&gt;5,"MID IMPACT",
    ABS(Fuel_prices[[#This Row],[%_change]])&lt;=5,"LITTLE IMPACT"
)</f>
        <v>HIGH IMPACT</v>
      </c>
    </row>
    <row r="608" spans="1:9" x14ac:dyDescent="0.25">
      <c r="A608" s="4">
        <v>44013</v>
      </c>
      <c r="B608" s="6" t="str">
        <f>_xlfn.CONCAT("Q",CEILING(Fuel_prices[[#This Row],[Month]]/3,1))</f>
        <v>Q3</v>
      </c>
      <c r="C608" s="6">
        <f>MONTH(Fuel_prices[[#This Row],[Date]])</f>
        <v>7</v>
      </c>
      <c r="D608" s="6" t="str">
        <f>TEXT(Fuel_prices[[#This Row],[Date]],"mmm")</f>
        <v>Jul</v>
      </c>
      <c r="E608" s="6">
        <f>YEAR(Fuel_prices[[#This Row],[Date]])</f>
        <v>2020</v>
      </c>
      <c r="F608" s="5">
        <v>42.066666666670002</v>
      </c>
      <c r="G608" s="2">
        <f ca="1">ROUND(IFERROR((Fuel_prices[[#This Row],[Crude_Oil_Price]]-OFFSET(Fuel_prices[[#This Row],[Crude_Oil_Price]],-1,0)),0),2)</f>
        <v>2.61</v>
      </c>
      <c r="H608" s="2">
        <f ca="1">ROUND((IFERROR((Fuel_prices[[#This Row],[Crude_Oil_Price]]-OFFSET(Fuel_prices[[#This Row],[Crude_Oil_Price]],-1,0))/(OFFSET(Fuel_prices[[#This Row],[Crude_Oil_Price]],-1,0)),0))*100,2)</f>
        <v>6.61</v>
      </c>
      <c r="I608" s="2" t="str" cm="1">
        <f t="array" aca="1" ref="I608" ca="1">_xlfn.IFS(
    ABS(Fuel_prices[[#This Row],[%_change]])&gt;50,"SEVERE IMPACT",
    ABS(Fuel_prices[[#This Row],[%_change]])&gt;25,"HIGH IMPACT",
    ABS(Fuel_prices[[#This Row],[%_change]])&gt;5,"MID IMPACT",
    ABS(Fuel_prices[[#This Row],[%_change]])&lt;=5,"LITTLE IMPACT"
)</f>
        <v>MID IMPACT</v>
      </c>
    </row>
    <row r="609" spans="1:9" x14ac:dyDescent="0.25">
      <c r="A609" s="4">
        <v>44044</v>
      </c>
      <c r="B609" s="6" t="str">
        <f>_xlfn.CONCAT("Q",CEILING(Fuel_prices[[#This Row],[Month]]/3,1))</f>
        <v>Q3</v>
      </c>
      <c r="C609" s="6">
        <f>MONTH(Fuel_prices[[#This Row],[Date]])</f>
        <v>8</v>
      </c>
      <c r="D609" s="6" t="str">
        <f>TEXT(Fuel_prices[[#This Row],[Date]],"mmm")</f>
        <v>Aug</v>
      </c>
      <c r="E609" s="6">
        <f>YEAR(Fuel_prices[[#This Row],[Date]])</f>
        <v>2020</v>
      </c>
      <c r="F609" s="5">
        <v>43.443333333330003</v>
      </c>
      <c r="G609" s="2">
        <f ca="1">ROUND(IFERROR((Fuel_prices[[#This Row],[Crude_Oil_Price]]-OFFSET(Fuel_prices[[#This Row],[Crude_Oil_Price]],-1,0)),0),2)</f>
        <v>1.38</v>
      </c>
      <c r="H609" s="2">
        <f ca="1">ROUND((IFERROR((Fuel_prices[[#This Row],[Crude_Oil_Price]]-OFFSET(Fuel_prices[[#This Row],[Crude_Oil_Price]],-1,0))/(OFFSET(Fuel_prices[[#This Row],[Crude_Oil_Price]],-1,0)),0))*100,2)</f>
        <v>3.27</v>
      </c>
      <c r="I609" s="2" t="str" cm="1">
        <f t="array" aca="1" ref="I609" ca="1">_xlfn.IFS(
    ABS(Fuel_prices[[#This Row],[%_change]])&gt;50,"SEVERE IMPACT",
    ABS(Fuel_prices[[#This Row],[%_change]])&gt;25,"HIGH IMPACT",
    ABS(Fuel_prices[[#This Row],[%_change]])&gt;5,"MID IMPACT",
    ABS(Fuel_prices[[#This Row],[%_change]])&lt;=5,"LITTLE IMPACT"
)</f>
        <v>LITTLE IMPACT</v>
      </c>
    </row>
    <row r="610" spans="1:9" x14ac:dyDescent="0.25">
      <c r="A610" s="4">
        <v>44075</v>
      </c>
      <c r="B610" s="6" t="str">
        <f>_xlfn.CONCAT("Q",CEILING(Fuel_prices[[#This Row],[Month]]/3,1))</f>
        <v>Q3</v>
      </c>
      <c r="C610" s="6">
        <f>MONTH(Fuel_prices[[#This Row],[Date]])</f>
        <v>9</v>
      </c>
      <c r="D610" s="6" t="str">
        <f>TEXT(Fuel_prices[[#This Row],[Date]],"mmm")</f>
        <v>Sep</v>
      </c>
      <c r="E610" s="6">
        <f>YEAR(Fuel_prices[[#This Row],[Date]])</f>
        <v>2020</v>
      </c>
      <c r="F610" s="5">
        <v>40.596666666669996</v>
      </c>
      <c r="G610" s="2">
        <f ca="1">ROUND(IFERROR((Fuel_prices[[#This Row],[Crude_Oil_Price]]-OFFSET(Fuel_prices[[#This Row],[Crude_Oil_Price]],-1,0)),0),2)</f>
        <v>-2.85</v>
      </c>
      <c r="H610" s="2">
        <f ca="1">ROUND((IFERROR((Fuel_prices[[#This Row],[Crude_Oil_Price]]-OFFSET(Fuel_prices[[#This Row],[Crude_Oil_Price]],-1,0))/(OFFSET(Fuel_prices[[#This Row],[Crude_Oil_Price]],-1,0)),0))*100,2)</f>
        <v>-6.55</v>
      </c>
      <c r="I610" s="2" t="str" cm="1">
        <f t="array" aca="1" ref="I610" ca="1">_xlfn.IFS(
    ABS(Fuel_prices[[#This Row],[%_change]])&gt;50,"SEVERE IMPACT",
    ABS(Fuel_prices[[#This Row],[%_change]])&gt;25,"HIGH IMPACT",
    ABS(Fuel_prices[[#This Row],[%_change]])&gt;5,"MID IMPACT",
    ABS(Fuel_prices[[#This Row],[%_change]])&lt;=5,"LITTLE IMPACT"
)</f>
        <v>MID IMPACT</v>
      </c>
    </row>
    <row r="611" spans="1:9" x14ac:dyDescent="0.25">
      <c r="A611" s="4">
        <v>44105</v>
      </c>
      <c r="B611" s="6" t="str">
        <f>_xlfn.CONCAT("Q",CEILING(Fuel_prices[[#This Row],[Month]]/3,1))</f>
        <v>Q4</v>
      </c>
      <c r="C611" s="6">
        <f>MONTH(Fuel_prices[[#This Row],[Date]])</f>
        <v>10</v>
      </c>
      <c r="D611" s="6" t="str">
        <f>TEXT(Fuel_prices[[#This Row],[Date]],"mmm")</f>
        <v>Oct</v>
      </c>
      <c r="E611" s="6">
        <f>YEAR(Fuel_prices[[#This Row],[Date]])</f>
        <v>2020</v>
      </c>
      <c r="F611" s="5">
        <v>39.9</v>
      </c>
      <c r="G611" s="2">
        <f ca="1">ROUND(IFERROR((Fuel_prices[[#This Row],[Crude_Oil_Price]]-OFFSET(Fuel_prices[[#This Row],[Crude_Oil_Price]],-1,0)),0),2)</f>
        <v>-0.7</v>
      </c>
      <c r="H611" s="2">
        <f ca="1">ROUND((IFERROR((Fuel_prices[[#This Row],[Crude_Oil_Price]]-OFFSET(Fuel_prices[[#This Row],[Crude_Oil_Price]],-1,0))/(OFFSET(Fuel_prices[[#This Row],[Crude_Oil_Price]],-1,0)),0))*100,2)</f>
        <v>-1.72</v>
      </c>
      <c r="I611" s="2" t="str" cm="1">
        <f t="array" aca="1" ref="I611" ca="1">_xlfn.IFS(
    ABS(Fuel_prices[[#This Row],[%_change]])&gt;50,"SEVERE IMPACT",
    ABS(Fuel_prices[[#This Row],[%_change]])&gt;25,"HIGH IMPACT",
    ABS(Fuel_prices[[#This Row],[%_change]])&gt;5,"MID IMPACT",
    ABS(Fuel_prices[[#This Row],[%_change]])&lt;=5,"LITTLE IMPACT"
)</f>
        <v>LITTLE IMPACT</v>
      </c>
    </row>
    <row r="612" spans="1:9" x14ac:dyDescent="0.25">
      <c r="A612" s="4">
        <v>44136</v>
      </c>
      <c r="B612" s="6" t="str">
        <f>_xlfn.CONCAT("Q",CEILING(Fuel_prices[[#This Row],[Month]]/3,1))</f>
        <v>Q4</v>
      </c>
      <c r="C612" s="6">
        <f>MONTH(Fuel_prices[[#This Row],[Date]])</f>
        <v>11</v>
      </c>
      <c r="D612" s="6" t="str">
        <f>TEXT(Fuel_prices[[#This Row],[Date]],"mmm")</f>
        <v>Nov</v>
      </c>
      <c r="E612" s="6">
        <f>YEAR(Fuel_prices[[#This Row],[Date]])</f>
        <v>2020</v>
      </c>
      <c r="F612" s="5">
        <v>42.303333333330002</v>
      </c>
      <c r="G612" s="2">
        <f ca="1">ROUND(IFERROR((Fuel_prices[[#This Row],[Crude_Oil_Price]]-OFFSET(Fuel_prices[[#This Row],[Crude_Oil_Price]],-1,0)),0),2)</f>
        <v>2.4</v>
      </c>
      <c r="H612" s="2">
        <f ca="1">ROUND((IFERROR((Fuel_prices[[#This Row],[Crude_Oil_Price]]-OFFSET(Fuel_prices[[#This Row],[Crude_Oil_Price]],-1,0))/(OFFSET(Fuel_prices[[#This Row],[Crude_Oil_Price]],-1,0)),0))*100,2)</f>
        <v>6.02</v>
      </c>
      <c r="I612" s="2" t="str" cm="1">
        <f t="array" aca="1" ref="I612" ca="1">_xlfn.IFS(
    ABS(Fuel_prices[[#This Row],[%_change]])&gt;50,"SEVERE IMPACT",
    ABS(Fuel_prices[[#This Row],[%_change]])&gt;25,"HIGH IMPACT",
    ABS(Fuel_prices[[#This Row],[%_change]])&gt;5,"MID IMPACT",
    ABS(Fuel_prices[[#This Row],[%_change]])&lt;=5,"LITTLE IMPACT"
)</f>
        <v>MID IMPACT</v>
      </c>
    </row>
    <row r="613" spans="1:9" x14ac:dyDescent="0.25">
      <c r="A613" s="4">
        <v>44166</v>
      </c>
      <c r="B613" s="6" t="str">
        <f>_xlfn.CONCAT("Q",CEILING(Fuel_prices[[#This Row],[Month]]/3,1))</f>
        <v>Q4</v>
      </c>
      <c r="C613" s="6">
        <f>MONTH(Fuel_prices[[#This Row],[Date]])</f>
        <v>12</v>
      </c>
      <c r="D613" s="6" t="str">
        <f>TEXT(Fuel_prices[[#This Row],[Date]],"mmm")</f>
        <v>Dec</v>
      </c>
      <c r="E613" s="6">
        <f>YEAR(Fuel_prices[[#This Row],[Date]])</f>
        <v>2020</v>
      </c>
      <c r="F613" s="5">
        <v>48.726666666669999</v>
      </c>
      <c r="G613" s="2">
        <f ca="1">ROUND(IFERROR((Fuel_prices[[#This Row],[Crude_Oil_Price]]-OFFSET(Fuel_prices[[#This Row],[Crude_Oil_Price]],-1,0)),0),2)</f>
        <v>6.42</v>
      </c>
      <c r="H613" s="2">
        <f ca="1">ROUND((IFERROR((Fuel_prices[[#This Row],[Crude_Oil_Price]]-OFFSET(Fuel_prices[[#This Row],[Crude_Oil_Price]],-1,0))/(OFFSET(Fuel_prices[[#This Row],[Crude_Oil_Price]],-1,0)),0))*100,2)</f>
        <v>15.18</v>
      </c>
      <c r="I613" s="2" t="str" cm="1">
        <f t="array" aca="1" ref="I613" ca="1">_xlfn.IFS(
    ABS(Fuel_prices[[#This Row],[%_change]])&gt;50,"SEVERE IMPACT",
    ABS(Fuel_prices[[#This Row],[%_change]])&gt;25,"HIGH IMPACT",
    ABS(Fuel_prices[[#This Row],[%_change]])&gt;5,"MID IMPACT",
    ABS(Fuel_prices[[#This Row],[%_change]])&lt;=5,"LITTLE IMPACT"
)</f>
        <v>MID IMPACT</v>
      </c>
    </row>
    <row r="614" spans="1:9" x14ac:dyDescent="0.25">
      <c r="A614" s="4">
        <v>44197</v>
      </c>
      <c r="B614" s="6" t="str">
        <f>_xlfn.CONCAT("Q",CEILING(Fuel_prices[[#This Row],[Month]]/3,1))</f>
        <v>Q1</v>
      </c>
      <c r="C614" s="6">
        <f>MONTH(Fuel_prices[[#This Row],[Date]])</f>
        <v>1</v>
      </c>
      <c r="D614" s="6" t="str">
        <f>TEXT(Fuel_prices[[#This Row],[Date]],"mmm")</f>
        <v>Jan</v>
      </c>
      <c r="E614" s="6">
        <f>YEAR(Fuel_prices[[#This Row],[Date]])</f>
        <v>2021</v>
      </c>
      <c r="F614" s="5">
        <v>53.603333333329999</v>
      </c>
      <c r="G614" s="2">
        <f ca="1">ROUND(IFERROR((Fuel_prices[[#This Row],[Crude_Oil_Price]]-OFFSET(Fuel_prices[[#This Row],[Crude_Oil_Price]],-1,0)),0),2)</f>
        <v>4.88</v>
      </c>
      <c r="H614" s="2">
        <f ca="1">ROUND((IFERROR((Fuel_prices[[#This Row],[Crude_Oil_Price]]-OFFSET(Fuel_prices[[#This Row],[Crude_Oil_Price]],-1,0))/(OFFSET(Fuel_prices[[#This Row],[Crude_Oil_Price]],-1,0)),0))*100,2)</f>
        <v>10.01</v>
      </c>
      <c r="I614" s="2" t="str" cm="1">
        <f t="array" aca="1" ref="I614" ca="1">_xlfn.IFS(
    ABS(Fuel_prices[[#This Row],[%_change]])&gt;50,"SEVERE IMPACT",
    ABS(Fuel_prices[[#This Row],[%_change]])&gt;25,"HIGH IMPACT",
    ABS(Fuel_prices[[#This Row],[%_change]])&gt;5,"MID IMPACT",
    ABS(Fuel_prices[[#This Row],[%_change]])&lt;=5,"LITTLE IMPACT"
)</f>
        <v>MID IMPACT</v>
      </c>
    </row>
    <row r="615" spans="1:9" x14ac:dyDescent="0.25">
      <c r="A615" s="4">
        <v>44228</v>
      </c>
      <c r="B615" s="6" t="str">
        <f>_xlfn.CONCAT("Q",CEILING(Fuel_prices[[#This Row],[Month]]/3,1))</f>
        <v>Q1</v>
      </c>
      <c r="C615" s="6">
        <f>MONTH(Fuel_prices[[#This Row],[Date]])</f>
        <v>2</v>
      </c>
      <c r="D615" s="6" t="str">
        <f>TEXT(Fuel_prices[[#This Row],[Date]],"mmm")</f>
        <v>Feb</v>
      </c>
      <c r="E615" s="6">
        <f>YEAR(Fuel_prices[[#This Row],[Date]])</f>
        <v>2021</v>
      </c>
      <c r="F615" s="5">
        <v>60.463333333329999</v>
      </c>
      <c r="G615" s="2">
        <f ca="1">ROUND(IFERROR((Fuel_prices[[#This Row],[Crude_Oil_Price]]-OFFSET(Fuel_prices[[#This Row],[Crude_Oil_Price]],-1,0)),0),2)</f>
        <v>6.86</v>
      </c>
      <c r="H615" s="2">
        <f ca="1">ROUND((IFERROR((Fuel_prices[[#This Row],[Crude_Oil_Price]]-OFFSET(Fuel_prices[[#This Row],[Crude_Oil_Price]],-1,0))/(OFFSET(Fuel_prices[[#This Row],[Crude_Oil_Price]],-1,0)),0))*100,2)</f>
        <v>12.8</v>
      </c>
      <c r="I615" s="2" t="str" cm="1">
        <f t="array" aca="1" ref="I615" ca="1">_xlfn.IFS(
    ABS(Fuel_prices[[#This Row],[%_change]])&gt;50,"SEVERE IMPACT",
    ABS(Fuel_prices[[#This Row],[%_change]])&gt;25,"HIGH IMPACT",
    ABS(Fuel_prices[[#This Row],[%_change]])&gt;5,"MID IMPACT",
    ABS(Fuel_prices[[#This Row],[%_change]])&lt;=5,"LITTLE IMPACT"
)</f>
        <v>MID IMPACT</v>
      </c>
    </row>
    <row r="616" spans="1:9" x14ac:dyDescent="0.25">
      <c r="A616" s="4">
        <v>44256</v>
      </c>
      <c r="B616" s="6" t="str">
        <f>_xlfn.CONCAT("Q",CEILING(Fuel_prices[[#This Row],[Month]]/3,1))</f>
        <v>Q1</v>
      </c>
      <c r="C616" s="6">
        <f>MONTH(Fuel_prices[[#This Row],[Date]])</f>
        <v>3</v>
      </c>
      <c r="D616" s="6" t="str">
        <f>TEXT(Fuel_prices[[#This Row],[Date]],"mmm")</f>
        <v>Mar</v>
      </c>
      <c r="E616" s="6">
        <f>YEAR(Fuel_prices[[#This Row],[Date]])</f>
        <v>2021</v>
      </c>
      <c r="F616" s="5">
        <v>63.83</v>
      </c>
      <c r="G616" s="2">
        <f ca="1">ROUND(IFERROR((Fuel_prices[[#This Row],[Crude_Oil_Price]]-OFFSET(Fuel_prices[[#This Row],[Crude_Oil_Price]],-1,0)),0),2)</f>
        <v>3.37</v>
      </c>
      <c r="H616" s="2">
        <f ca="1">ROUND((IFERROR((Fuel_prices[[#This Row],[Crude_Oil_Price]]-OFFSET(Fuel_prices[[#This Row],[Crude_Oil_Price]],-1,0))/(OFFSET(Fuel_prices[[#This Row],[Crude_Oil_Price]],-1,0)),0))*100,2)</f>
        <v>5.57</v>
      </c>
      <c r="I616" s="2" t="str" cm="1">
        <f t="array" aca="1" ref="I616" ca="1">_xlfn.IFS(
    ABS(Fuel_prices[[#This Row],[%_change]])&gt;50,"SEVERE IMPACT",
    ABS(Fuel_prices[[#This Row],[%_change]])&gt;25,"HIGH IMPACT",
    ABS(Fuel_prices[[#This Row],[%_change]])&gt;5,"MID IMPACT",
    ABS(Fuel_prices[[#This Row],[%_change]])&lt;=5,"LITTLE IMPACT"
)</f>
        <v>MID IMPACT</v>
      </c>
    </row>
    <row r="617" spans="1:9" x14ac:dyDescent="0.25">
      <c r="A617" s="4">
        <v>44287</v>
      </c>
      <c r="B617" s="6" t="str">
        <f>_xlfn.CONCAT("Q",CEILING(Fuel_prices[[#This Row],[Month]]/3,1))</f>
        <v>Q2</v>
      </c>
      <c r="C617" s="6">
        <f>MONTH(Fuel_prices[[#This Row],[Date]])</f>
        <v>4</v>
      </c>
      <c r="D617" s="6" t="str">
        <f>TEXT(Fuel_prices[[#This Row],[Date]],"mmm")</f>
        <v>Apr</v>
      </c>
      <c r="E617" s="6">
        <f>YEAR(Fuel_prices[[#This Row],[Date]])</f>
        <v>2021</v>
      </c>
      <c r="F617" s="5">
        <v>62.95</v>
      </c>
      <c r="G617" s="2">
        <f ca="1">ROUND(IFERROR((Fuel_prices[[#This Row],[Crude_Oil_Price]]-OFFSET(Fuel_prices[[#This Row],[Crude_Oil_Price]],-1,0)),0),2)</f>
        <v>-0.88</v>
      </c>
      <c r="H617" s="2">
        <f ca="1">ROUND((IFERROR((Fuel_prices[[#This Row],[Crude_Oil_Price]]-OFFSET(Fuel_prices[[#This Row],[Crude_Oil_Price]],-1,0))/(OFFSET(Fuel_prices[[#This Row],[Crude_Oil_Price]],-1,0)),0))*100,2)</f>
        <v>-1.38</v>
      </c>
      <c r="I617" s="2" t="str" cm="1">
        <f t="array" aca="1" ref="I617" ca="1">_xlfn.IFS(
    ABS(Fuel_prices[[#This Row],[%_change]])&gt;50,"SEVERE IMPACT",
    ABS(Fuel_prices[[#This Row],[%_change]])&gt;25,"HIGH IMPACT",
    ABS(Fuel_prices[[#This Row],[%_change]])&gt;5,"MID IMPACT",
    ABS(Fuel_prices[[#This Row],[%_change]])&lt;=5,"LITTLE IMPACT"
)</f>
        <v>LITTLE IMPACT</v>
      </c>
    </row>
    <row r="618" spans="1:9" x14ac:dyDescent="0.25">
      <c r="A618" s="4">
        <v>44317</v>
      </c>
      <c r="B618" s="6" t="str">
        <f>_xlfn.CONCAT("Q",CEILING(Fuel_prices[[#This Row],[Month]]/3,1))</f>
        <v>Q2</v>
      </c>
      <c r="C618" s="6">
        <f>MONTH(Fuel_prices[[#This Row],[Date]])</f>
        <v>5</v>
      </c>
      <c r="D618" s="6" t="str">
        <f>TEXT(Fuel_prices[[#This Row],[Date]],"mmm")</f>
        <v>May</v>
      </c>
      <c r="E618" s="6">
        <f>YEAR(Fuel_prices[[#This Row],[Date]])</f>
        <v>2021</v>
      </c>
      <c r="F618" s="5">
        <v>66.400000000000006</v>
      </c>
      <c r="G618" s="2">
        <f ca="1">ROUND(IFERROR((Fuel_prices[[#This Row],[Crude_Oil_Price]]-OFFSET(Fuel_prices[[#This Row],[Crude_Oil_Price]],-1,0)),0),2)</f>
        <v>3.45</v>
      </c>
      <c r="H618" s="2">
        <f ca="1">ROUND((IFERROR((Fuel_prices[[#This Row],[Crude_Oil_Price]]-OFFSET(Fuel_prices[[#This Row],[Crude_Oil_Price]],-1,0))/(OFFSET(Fuel_prices[[#This Row],[Crude_Oil_Price]],-1,0)),0))*100,2)</f>
        <v>5.48</v>
      </c>
      <c r="I618" s="2" t="str" cm="1">
        <f t="array" aca="1" ref="I618" ca="1">_xlfn.IFS(
    ABS(Fuel_prices[[#This Row],[%_change]])&gt;50,"SEVERE IMPACT",
    ABS(Fuel_prices[[#This Row],[%_change]])&gt;25,"HIGH IMPACT",
    ABS(Fuel_prices[[#This Row],[%_change]])&gt;5,"MID IMPACT",
    ABS(Fuel_prices[[#This Row],[%_change]])&lt;=5,"LITTLE IMPACT"
)</f>
        <v>MID IMPACT</v>
      </c>
    </row>
    <row r="619" spans="1:9" x14ac:dyDescent="0.25">
      <c r="A619" s="4">
        <v>44348</v>
      </c>
      <c r="B619" s="6" t="str">
        <f>_xlfn.CONCAT("Q",CEILING(Fuel_prices[[#This Row],[Month]]/3,1))</f>
        <v>Q2</v>
      </c>
      <c r="C619" s="6">
        <f>MONTH(Fuel_prices[[#This Row],[Date]])</f>
        <v>6</v>
      </c>
      <c r="D619" s="6" t="str">
        <f>TEXT(Fuel_prices[[#This Row],[Date]],"mmm")</f>
        <v>Jun</v>
      </c>
      <c r="E619" s="6">
        <f>YEAR(Fuel_prices[[#This Row],[Date]])</f>
        <v>2021</v>
      </c>
      <c r="F619" s="5">
        <v>71.803333333330002</v>
      </c>
      <c r="G619" s="2">
        <f ca="1">ROUND(IFERROR((Fuel_prices[[#This Row],[Crude_Oil_Price]]-OFFSET(Fuel_prices[[#This Row],[Crude_Oil_Price]],-1,0)),0),2)</f>
        <v>5.4</v>
      </c>
      <c r="H619" s="2">
        <f ca="1">ROUND((IFERROR((Fuel_prices[[#This Row],[Crude_Oil_Price]]-OFFSET(Fuel_prices[[#This Row],[Crude_Oil_Price]],-1,0))/(OFFSET(Fuel_prices[[#This Row],[Crude_Oil_Price]],-1,0)),0))*100,2)</f>
        <v>8.14</v>
      </c>
      <c r="I619" s="2" t="str" cm="1">
        <f t="array" aca="1" ref="I619" ca="1">_xlfn.IFS(
    ABS(Fuel_prices[[#This Row],[%_change]])&gt;50,"SEVERE IMPACT",
    ABS(Fuel_prices[[#This Row],[%_change]])&gt;25,"HIGH IMPACT",
    ABS(Fuel_prices[[#This Row],[%_change]])&gt;5,"MID IMPACT",
    ABS(Fuel_prices[[#This Row],[%_change]])&lt;=5,"LITTLE IMPACT"
)</f>
        <v>MID IMPACT</v>
      </c>
    </row>
    <row r="620" spans="1:9" x14ac:dyDescent="0.25">
      <c r="A620" s="4">
        <v>44378</v>
      </c>
      <c r="B620" s="6" t="str">
        <f>_xlfn.CONCAT("Q",CEILING(Fuel_prices[[#This Row],[Month]]/3,1))</f>
        <v>Q3</v>
      </c>
      <c r="C620" s="6">
        <f>MONTH(Fuel_prices[[#This Row],[Date]])</f>
        <v>7</v>
      </c>
      <c r="D620" s="6" t="str">
        <f>TEXT(Fuel_prices[[#This Row],[Date]],"mmm")</f>
        <v>Jul</v>
      </c>
      <c r="E620" s="6">
        <f>YEAR(Fuel_prices[[#This Row],[Date]])</f>
        <v>2021</v>
      </c>
      <c r="F620" s="5">
        <v>73.283333333330006</v>
      </c>
      <c r="G620" s="2">
        <f ca="1">ROUND(IFERROR((Fuel_prices[[#This Row],[Crude_Oil_Price]]-OFFSET(Fuel_prices[[#This Row],[Crude_Oil_Price]],-1,0)),0),2)</f>
        <v>1.48</v>
      </c>
      <c r="H620" s="2">
        <f ca="1">ROUND((IFERROR((Fuel_prices[[#This Row],[Crude_Oil_Price]]-OFFSET(Fuel_prices[[#This Row],[Crude_Oil_Price]],-1,0))/(OFFSET(Fuel_prices[[#This Row],[Crude_Oil_Price]],-1,0)),0))*100,2)</f>
        <v>2.06</v>
      </c>
      <c r="I620" s="2" t="str" cm="1">
        <f t="array" aca="1" ref="I620" ca="1">_xlfn.IFS(
    ABS(Fuel_prices[[#This Row],[%_change]])&gt;50,"SEVERE IMPACT",
    ABS(Fuel_prices[[#This Row],[%_change]])&gt;25,"HIGH IMPACT",
    ABS(Fuel_prices[[#This Row],[%_change]])&gt;5,"MID IMPACT",
    ABS(Fuel_prices[[#This Row],[%_change]])&lt;=5,"LITTLE IMPACT"
)</f>
        <v>LITTLE IMPACT</v>
      </c>
    </row>
    <row r="621" spans="1:9" x14ac:dyDescent="0.25">
      <c r="A621" s="4">
        <v>44409</v>
      </c>
      <c r="B621" s="6" t="str">
        <f>_xlfn.CONCAT("Q",CEILING(Fuel_prices[[#This Row],[Month]]/3,1))</f>
        <v>Q3</v>
      </c>
      <c r="C621" s="6">
        <f>MONTH(Fuel_prices[[#This Row],[Date]])</f>
        <v>8</v>
      </c>
      <c r="D621" s="6" t="str">
        <f>TEXT(Fuel_prices[[#This Row],[Date]],"mmm")</f>
        <v>Aug</v>
      </c>
      <c r="E621" s="6">
        <f>YEAR(Fuel_prices[[#This Row],[Date]])</f>
        <v>2021</v>
      </c>
      <c r="F621" s="5">
        <v>68.86666666667</v>
      </c>
      <c r="G621" s="2">
        <f ca="1">ROUND(IFERROR((Fuel_prices[[#This Row],[Crude_Oil_Price]]-OFFSET(Fuel_prices[[#This Row],[Crude_Oil_Price]],-1,0)),0),2)</f>
        <v>-4.42</v>
      </c>
      <c r="H621" s="2">
        <f ca="1">ROUND((IFERROR((Fuel_prices[[#This Row],[Crude_Oil_Price]]-OFFSET(Fuel_prices[[#This Row],[Crude_Oil_Price]],-1,0))/(OFFSET(Fuel_prices[[#This Row],[Crude_Oil_Price]],-1,0)),0))*100,2)</f>
        <v>-6.03</v>
      </c>
      <c r="I621" s="2" t="str" cm="1">
        <f t="array" aca="1" ref="I621" ca="1">_xlfn.IFS(
    ABS(Fuel_prices[[#This Row],[%_change]])&gt;50,"SEVERE IMPACT",
    ABS(Fuel_prices[[#This Row],[%_change]])&gt;25,"HIGH IMPACT",
    ABS(Fuel_prices[[#This Row],[%_change]])&gt;5,"MID IMPACT",
    ABS(Fuel_prices[[#This Row],[%_change]])&lt;=5,"LITTLE IMPACT"
)</f>
        <v>MID IMPACT</v>
      </c>
    </row>
    <row r="622" spans="1:9" x14ac:dyDescent="0.25">
      <c r="A622" s="4">
        <v>44440</v>
      </c>
      <c r="B622" s="6" t="str">
        <f>_xlfn.CONCAT("Q",CEILING(Fuel_prices[[#This Row],[Month]]/3,1))</f>
        <v>Q3</v>
      </c>
      <c r="C622" s="6">
        <f>MONTH(Fuel_prices[[#This Row],[Date]])</f>
        <v>9</v>
      </c>
      <c r="D622" s="6" t="str">
        <f>TEXT(Fuel_prices[[#This Row],[Date]],"mmm")</f>
        <v>Sep</v>
      </c>
      <c r="E622" s="6">
        <f>YEAR(Fuel_prices[[#This Row],[Date]])</f>
        <v>2021</v>
      </c>
      <c r="F622" s="5">
        <v>72.8</v>
      </c>
      <c r="G622" s="2">
        <f ca="1">ROUND(IFERROR((Fuel_prices[[#This Row],[Crude_Oil_Price]]-OFFSET(Fuel_prices[[#This Row],[Crude_Oil_Price]],-1,0)),0),2)</f>
        <v>3.93</v>
      </c>
      <c r="H622" s="2">
        <f ca="1">ROUND((IFERROR((Fuel_prices[[#This Row],[Crude_Oil_Price]]-OFFSET(Fuel_prices[[#This Row],[Crude_Oil_Price]],-1,0))/(OFFSET(Fuel_prices[[#This Row],[Crude_Oil_Price]],-1,0)),0))*100,2)</f>
        <v>5.71</v>
      </c>
      <c r="I622" s="2" t="str" cm="1">
        <f t="array" aca="1" ref="I622" ca="1">_xlfn.IFS(
    ABS(Fuel_prices[[#This Row],[%_change]])&gt;50,"SEVERE IMPACT",
    ABS(Fuel_prices[[#This Row],[%_change]])&gt;25,"HIGH IMPACT",
    ABS(Fuel_prices[[#This Row],[%_change]])&gt;5,"MID IMPACT",
    ABS(Fuel_prices[[#This Row],[%_change]])&lt;=5,"LITTLE IMPACT"
)</f>
        <v>MID IMPACT</v>
      </c>
    </row>
    <row r="623" spans="1:9" x14ac:dyDescent="0.25">
      <c r="A623" s="4">
        <v>44470</v>
      </c>
      <c r="B623" s="6" t="str">
        <f>_xlfn.CONCAT("Q",CEILING(Fuel_prices[[#This Row],[Month]]/3,1))</f>
        <v>Q4</v>
      </c>
      <c r="C623" s="6">
        <f>MONTH(Fuel_prices[[#This Row],[Date]])</f>
        <v>10</v>
      </c>
      <c r="D623" s="6" t="str">
        <f>TEXT(Fuel_prices[[#This Row],[Date]],"mmm")</f>
        <v>Oct</v>
      </c>
      <c r="E623" s="6">
        <f>YEAR(Fuel_prices[[#This Row],[Date]])</f>
        <v>2021</v>
      </c>
      <c r="F623" s="5">
        <v>82.063333333329993</v>
      </c>
      <c r="G623" s="2">
        <f ca="1">ROUND(IFERROR((Fuel_prices[[#This Row],[Crude_Oil_Price]]-OFFSET(Fuel_prices[[#This Row],[Crude_Oil_Price]],-1,0)),0),2)</f>
        <v>9.26</v>
      </c>
      <c r="H623" s="2">
        <f ca="1">ROUND((IFERROR((Fuel_prices[[#This Row],[Crude_Oil_Price]]-OFFSET(Fuel_prices[[#This Row],[Crude_Oil_Price]],-1,0))/(OFFSET(Fuel_prices[[#This Row],[Crude_Oil_Price]],-1,0)),0))*100,2)</f>
        <v>12.72</v>
      </c>
      <c r="I623" s="2" t="str" cm="1">
        <f t="array" aca="1" ref="I623" ca="1">_xlfn.IFS(
    ABS(Fuel_prices[[#This Row],[%_change]])&gt;50,"SEVERE IMPACT",
    ABS(Fuel_prices[[#This Row],[%_change]])&gt;25,"HIGH IMPACT",
    ABS(Fuel_prices[[#This Row],[%_change]])&gt;5,"MID IMPACT",
    ABS(Fuel_prices[[#This Row],[%_change]])&lt;=5,"LITTLE IMPACT"
)</f>
        <v>MID IMPACT</v>
      </c>
    </row>
    <row r="624" spans="1:9" x14ac:dyDescent="0.25">
      <c r="A624" s="4">
        <v>44501</v>
      </c>
      <c r="B624" s="6" t="str">
        <f>_xlfn.CONCAT("Q",CEILING(Fuel_prices[[#This Row],[Month]]/3,1))</f>
        <v>Q4</v>
      </c>
      <c r="C624" s="6">
        <f>MONTH(Fuel_prices[[#This Row],[Date]])</f>
        <v>11</v>
      </c>
      <c r="D624" s="6" t="str">
        <f>TEXT(Fuel_prices[[#This Row],[Date]],"mmm")</f>
        <v>Nov</v>
      </c>
      <c r="E624" s="6">
        <f>YEAR(Fuel_prices[[#This Row],[Date]])</f>
        <v>2021</v>
      </c>
      <c r="F624" s="5">
        <v>79.916666666669997</v>
      </c>
      <c r="G624" s="2">
        <f ca="1">ROUND(IFERROR((Fuel_prices[[#This Row],[Crude_Oil_Price]]-OFFSET(Fuel_prices[[#This Row],[Crude_Oil_Price]],-1,0)),0),2)</f>
        <v>-2.15</v>
      </c>
      <c r="H624" s="2">
        <f ca="1">ROUND((IFERROR((Fuel_prices[[#This Row],[Crude_Oil_Price]]-OFFSET(Fuel_prices[[#This Row],[Crude_Oil_Price]],-1,0))/(OFFSET(Fuel_prices[[#This Row],[Crude_Oil_Price]],-1,0)),0))*100,2)</f>
        <v>-2.62</v>
      </c>
      <c r="I624" s="2" t="str" cm="1">
        <f t="array" aca="1" ref="I624" ca="1">_xlfn.IFS(
    ABS(Fuel_prices[[#This Row],[%_change]])&gt;50,"SEVERE IMPACT",
    ABS(Fuel_prices[[#This Row],[%_change]])&gt;25,"HIGH IMPACT",
    ABS(Fuel_prices[[#This Row],[%_change]])&gt;5,"MID IMPACT",
    ABS(Fuel_prices[[#This Row],[%_change]])&lt;=5,"LITTLE IMPACT"
)</f>
        <v>LITTLE IMPACT</v>
      </c>
    </row>
    <row r="625" spans="1:9" x14ac:dyDescent="0.25">
      <c r="A625" s="4">
        <v>44531</v>
      </c>
      <c r="B625" s="6" t="str">
        <f>_xlfn.CONCAT("Q",CEILING(Fuel_prices[[#This Row],[Month]]/3,1))</f>
        <v>Q4</v>
      </c>
      <c r="C625" s="6">
        <f>MONTH(Fuel_prices[[#This Row],[Date]])</f>
        <v>12</v>
      </c>
      <c r="D625" s="6" t="str">
        <f>TEXT(Fuel_prices[[#This Row],[Date]],"mmm")</f>
        <v>Dec</v>
      </c>
      <c r="E625" s="6">
        <f>YEAR(Fuel_prices[[#This Row],[Date]])</f>
        <v>2021</v>
      </c>
      <c r="F625" s="5">
        <v>72.86666666667</v>
      </c>
      <c r="G625" s="2">
        <f ca="1">ROUND(IFERROR((Fuel_prices[[#This Row],[Crude_Oil_Price]]-OFFSET(Fuel_prices[[#This Row],[Crude_Oil_Price]],-1,0)),0),2)</f>
        <v>-7.05</v>
      </c>
      <c r="H625" s="2">
        <f ca="1">ROUND((IFERROR((Fuel_prices[[#This Row],[Crude_Oil_Price]]-OFFSET(Fuel_prices[[#This Row],[Crude_Oil_Price]],-1,0))/(OFFSET(Fuel_prices[[#This Row],[Crude_Oil_Price]],-1,0)),0))*100,2)</f>
        <v>-8.82</v>
      </c>
      <c r="I625" s="2" t="str" cm="1">
        <f t="array" aca="1" ref="I625" ca="1">_xlfn.IFS(
    ABS(Fuel_prices[[#This Row],[%_change]])&gt;50,"SEVERE IMPACT",
    ABS(Fuel_prices[[#This Row],[%_change]])&gt;25,"HIGH IMPACT",
    ABS(Fuel_prices[[#This Row],[%_change]])&gt;5,"MID IMPACT",
    ABS(Fuel_prices[[#This Row],[%_change]])&lt;=5,"LITTLE IMPACT"
)</f>
        <v>MID IMPACT</v>
      </c>
    </row>
    <row r="626" spans="1:9" x14ac:dyDescent="0.25">
      <c r="A626" s="4">
        <v>44562</v>
      </c>
      <c r="B626" s="6" t="str">
        <f>_xlfn.CONCAT("Q",CEILING(Fuel_prices[[#This Row],[Month]]/3,1))</f>
        <v>Q1</v>
      </c>
      <c r="C626" s="6">
        <f>MONTH(Fuel_prices[[#This Row],[Date]])</f>
        <v>1</v>
      </c>
      <c r="D626" s="6" t="str">
        <f>TEXT(Fuel_prices[[#This Row],[Date]],"mmm")</f>
        <v>Jan</v>
      </c>
      <c r="E626" s="6">
        <f>YEAR(Fuel_prices[[#This Row],[Date]])</f>
        <v>2022</v>
      </c>
      <c r="F626" s="5">
        <v>83.92</v>
      </c>
      <c r="G626" s="2">
        <f ca="1">ROUND(IFERROR((Fuel_prices[[#This Row],[Crude_Oil_Price]]-OFFSET(Fuel_prices[[#This Row],[Crude_Oil_Price]],-1,0)),0),2)</f>
        <v>11.05</v>
      </c>
      <c r="H626" s="2">
        <f ca="1">ROUND((IFERROR((Fuel_prices[[#This Row],[Crude_Oil_Price]]-OFFSET(Fuel_prices[[#This Row],[Crude_Oil_Price]],-1,0))/(OFFSET(Fuel_prices[[#This Row],[Crude_Oil_Price]],-1,0)),0))*100,2)</f>
        <v>15.17</v>
      </c>
      <c r="I626" s="2" t="str" cm="1">
        <f t="array" aca="1" ref="I626" ca="1">_xlfn.IFS(
    ABS(Fuel_prices[[#This Row],[%_change]])&gt;50,"SEVERE IMPACT",
    ABS(Fuel_prices[[#This Row],[%_change]])&gt;25,"HIGH IMPACT",
    ABS(Fuel_prices[[#This Row],[%_change]])&gt;5,"MID IMPACT",
    ABS(Fuel_prices[[#This Row],[%_change]])&lt;=5,"LITTLE IMPACT"
)</f>
        <v>MID IMPACT</v>
      </c>
    </row>
    <row r="627" spans="1:9" x14ac:dyDescent="0.25">
      <c r="A627" s="4">
        <v>44593</v>
      </c>
      <c r="B627" s="6" t="str">
        <f>_xlfn.CONCAT("Q",CEILING(Fuel_prices[[#This Row],[Month]]/3,1))</f>
        <v>Q1</v>
      </c>
      <c r="C627" s="6">
        <f>MONTH(Fuel_prices[[#This Row],[Date]])</f>
        <v>2</v>
      </c>
      <c r="D627" s="6" t="str">
        <f>TEXT(Fuel_prices[[#This Row],[Date]],"mmm")</f>
        <v>Feb</v>
      </c>
      <c r="E627" s="6">
        <f>YEAR(Fuel_prices[[#This Row],[Date]])</f>
        <v>2022</v>
      </c>
      <c r="F627" s="5">
        <v>93.543333333329997</v>
      </c>
      <c r="G627" s="2">
        <f ca="1">ROUND(IFERROR((Fuel_prices[[#This Row],[Crude_Oil_Price]]-OFFSET(Fuel_prices[[#This Row],[Crude_Oil_Price]],-1,0)),0),2)</f>
        <v>9.6199999999999992</v>
      </c>
      <c r="H627" s="2">
        <f ca="1">ROUND((IFERROR((Fuel_prices[[#This Row],[Crude_Oil_Price]]-OFFSET(Fuel_prices[[#This Row],[Crude_Oil_Price]],-1,0))/(OFFSET(Fuel_prices[[#This Row],[Crude_Oil_Price]],-1,0)),0))*100,2)</f>
        <v>11.47</v>
      </c>
      <c r="I627" s="2" t="str" cm="1">
        <f t="array" aca="1" ref="I627" ca="1">_xlfn.IFS(
    ABS(Fuel_prices[[#This Row],[%_change]])&gt;50,"SEVERE IMPACT",
    ABS(Fuel_prices[[#This Row],[%_change]])&gt;25,"HIGH IMPACT",
    ABS(Fuel_prices[[#This Row],[%_change]])&gt;5,"MID IMPACT",
    ABS(Fuel_prices[[#This Row],[%_change]])&lt;=5,"LITTLE IMPACT"
)</f>
        <v>MID IMPACT</v>
      </c>
    </row>
    <row r="628" spans="1:9" x14ac:dyDescent="0.25">
      <c r="A628" s="4">
        <v>44621</v>
      </c>
      <c r="B628" s="6" t="str">
        <f>_xlfn.CONCAT("Q",CEILING(Fuel_prices[[#This Row],[Month]]/3,1))</f>
        <v>Q1</v>
      </c>
      <c r="C628" s="6">
        <f>MONTH(Fuel_prices[[#This Row],[Date]])</f>
        <v>3</v>
      </c>
      <c r="D628" s="6" t="str">
        <f>TEXT(Fuel_prices[[#This Row],[Date]],"mmm")</f>
        <v>Mar</v>
      </c>
      <c r="E628" s="6">
        <f>YEAR(Fuel_prices[[#This Row],[Date]])</f>
        <v>2022</v>
      </c>
      <c r="F628" s="5">
        <v>112.39666666667</v>
      </c>
      <c r="G628" s="2">
        <f ca="1">ROUND(IFERROR((Fuel_prices[[#This Row],[Crude_Oil_Price]]-OFFSET(Fuel_prices[[#This Row],[Crude_Oil_Price]],-1,0)),0),2)</f>
        <v>18.850000000000001</v>
      </c>
      <c r="H628" s="2">
        <f ca="1">ROUND((IFERROR((Fuel_prices[[#This Row],[Crude_Oil_Price]]-OFFSET(Fuel_prices[[#This Row],[Crude_Oil_Price]],-1,0))/(OFFSET(Fuel_prices[[#This Row],[Crude_Oil_Price]],-1,0)),0))*100,2)</f>
        <v>20.149999999999999</v>
      </c>
      <c r="I628" s="2" t="str" cm="1">
        <f t="array" aca="1" ref="I628" ca="1">_xlfn.IFS(
    ABS(Fuel_prices[[#This Row],[%_change]])&gt;50,"SEVERE IMPACT",
    ABS(Fuel_prices[[#This Row],[%_change]])&gt;25,"HIGH IMPACT",
    ABS(Fuel_prices[[#This Row],[%_change]])&gt;5,"MID IMPACT",
    ABS(Fuel_prices[[#This Row],[%_change]])&lt;=5,"LITTLE IMPACT"
)</f>
        <v>MID IMPACT</v>
      </c>
    </row>
    <row r="629" spans="1:9" x14ac:dyDescent="0.25">
      <c r="A629" s="4">
        <v>44652</v>
      </c>
      <c r="B629" s="6" t="str">
        <f>_xlfn.CONCAT("Q",CEILING(Fuel_prices[[#This Row],[Month]]/3,1))</f>
        <v>Q2</v>
      </c>
      <c r="C629" s="6">
        <f>MONTH(Fuel_prices[[#This Row],[Date]])</f>
        <v>4</v>
      </c>
      <c r="D629" s="6" t="str">
        <f>TEXT(Fuel_prices[[#This Row],[Date]],"mmm")</f>
        <v>Apr</v>
      </c>
      <c r="E629" s="6">
        <f>YEAR(Fuel_prices[[#This Row],[Date]])</f>
        <v>2022</v>
      </c>
      <c r="F629" s="5">
        <v>103.41333333333</v>
      </c>
      <c r="G629" s="2">
        <f ca="1">ROUND(IFERROR((Fuel_prices[[#This Row],[Crude_Oil_Price]]-OFFSET(Fuel_prices[[#This Row],[Crude_Oil_Price]],-1,0)),0),2)</f>
        <v>-8.98</v>
      </c>
      <c r="H629" s="2">
        <f ca="1">ROUND((IFERROR((Fuel_prices[[#This Row],[Crude_Oil_Price]]-OFFSET(Fuel_prices[[#This Row],[Crude_Oil_Price]],-1,0))/(OFFSET(Fuel_prices[[#This Row],[Crude_Oil_Price]],-1,0)),0))*100,2)</f>
        <v>-7.99</v>
      </c>
      <c r="I629" s="2" t="str" cm="1">
        <f t="array" aca="1" ref="I629" ca="1">_xlfn.IFS(
    ABS(Fuel_prices[[#This Row],[%_change]])&gt;50,"SEVERE IMPACT",
    ABS(Fuel_prices[[#This Row],[%_change]])&gt;25,"HIGH IMPACT",
    ABS(Fuel_prices[[#This Row],[%_change]])&gt;5,"MID IMPACT",
    ABS(Fuel_prices[[#This Row],[%_change]])&lt;=5,"LITTLE IMPACT"
)</f>
        <v>MID IMPACT</v>
      </c>
    </row>
    <row r="630" spans="1:9" x14ac:dyDescent="0.25">
      <c r="A630" s="4">
        <v>44682</v>
      </c>
      <c r="B630" s="6" t="str">
        <f>_xlfn.CONCAT("Q",CEILING(Fuel_prices[[#This Row],[Month]]/3,1))</f>
        <v>Q2</v>
      </c>
      <c r="C630" s="6">
        <f>MONTH(Fuel_prices[[#This Row],[Date]])</f>
        <v>5</v>
      </c>
      <c r="D630" s="6" t="str">
        <f>TEXT(Fuel_prices[[#This Row],[Date]],"mmm")</f>
        <v>May</v>
      </c>
      <c r="E630" s="6">
        <f>YEAR(Fuel_prices[[#This Row],[Date]])</f>
        <v>2022</v>
      </c>
      <c r="F630" s="5">
        <v>110.09666666667</v>
      </c>
      <c r="G630" s="2">
        <f ca="1">ROUND(IFERROR((Fuel_prices[[#This Row],[Crude_Oil_Price]]-OFFSET(Fuel_prices[[#This Row],[Crude_Oil_Price]],-1,0)),0),2)</f>
        <v>6.68</v>
      </c>
      <c r="H630" s="2">
        <f ca="1">ROUND((IFERROR((Fuel_prices[[#This Row],[Crude_Oil_Price]]-OFFSET(Fuel_prices[[#This Row],[Crude_Oil_Price]],-1,0))/(OFFSET(Fuel_prices[[#This Row],[Crude_Oil_Price]],-1,0)),0))*100,2)</f>
        <v>6.46</v>
      </c>
      <c r="I630" s="2" t="str" cm="1">
        <f t="array" aca="1" ref="I630" ca="1">_xlfn.IFS(
    ABS(Fuel_prices[[#This Row],[%_change]])&gt;50,"SEVERE IMPACT",
    ABS(Fuel_prices[[#This Row],[%_change]])&gt;25,"HIGH IMPACT",
    ABS(Fuel_prices[[#This Row],[%_change]])&gt;5,"MID IMPACT",
    ABS(Fuel_prices[[#This Row],[%_change]])&lt;=5,"LITTLE IMPACT"
)</f>
        <v>MID IMPACT</v>
      </c>
    </row>
    <row r="631" spans="1:9" x14ac:dyDescent="0.25">
      <c r="A631" s="4">
        <v>44713</v>
      </c>
      <c r="B631" s="6" t="str">
        <f>_xlfn.CONCAT("Q",CEILING(Fuel_prices[[#This Row],[Month]]/3,1))</f>
        <v>Q2</v>
      </c>
      <c r="C631" s="6">
        <f>MONTH(Fuel_prices[[#This Row],[Date]])</f>
        <v>6</v>
      </c>
      <c r="D631" s="6" t="str">
        <f>TEXT(Fuel_prices[[#This Row],[Date]],"mmm")</f>
        <v>Jun</v>
      </c>
      <c r="E631" s="6">
        <f>YEAR(Fuel_prices[[#This Row],[Date]])</f>
        <v>2022</v>
      </c>
      <c r="F631" s="5">
        <v>116.8</v>
      </c>
      <c r="G631" s="2">
        <f ca="1">ROUND(IFERROR((Fuel_prices[[#This Row],[Crude_Oil_Price]]-OFFSET(Fuel_prices[[#This Row],[Crude_Oil_Price]],-1,0)),0),2)</f>
        <v>6.7</v>
      </c>
      <c r="H631" s="2">
        <f ca="1">ROUND((IFERROR((Fuel_prices[[#This Row],[Crude_Oil_Price]]-OFFSET(Fuel_prices[[#This Row],[Crude_Oil_Price]],-1,0))/(OFFSET(Fuel_prices[[#This Row],[Crude_Oil_Price]],-1,0)),0))*100,2)</f>
        <v>6.09</v>
      </c>
      <c r="I631" s="2" t="str" cm="1">
        <f t="array" aca="1" ref="I631" ca="1">_xlfn.IFS(
    ABS(Fuel_prices[[#This Row],[%_change]])&gt;50,"SEVERE IMPACT",
    ABS(Fuel_prices[[#This Row],[%_change]])&gt;25,"HIGH IMPACT",
    ABS(Fuel_prices[[#This Row],[%_change]])&gt;5,"MID IMPACT",
    ABS(Fuel_prices[[#This Row],[%_change]])&lt;=5,"LITTLE IMPACT"
)</f>
        <v>MID IMPACT</v>
      </c>
    </row>
    <row r="632" spans="1:9" x14ac:dyDescent="0.25">
      <c r="A632" s="4">
        <v>44743</v>
      </c>
      <c r="B632" s="6" t="str">
        <f>_xlfn.CONCAT("Q",CEILING(Fuel_prices[[#This Row],[Month]]/3,1))</f>
        <v>Q3</v>
      </c>
      <c r="C632" s="6">
        <f>MONTH(Fuel_prices[[#This Row],[Date]])</f>
        <v>7</v>
      </c>
      <c r="D632" s="6" t="str">
        <f>TEXT(Fuel_prices[[#This Row],[Date]],"mmm")</f>
        <v>Jul</v>
      </c>
      <c r="E632" s="6">
        <f>YEAR(Fuel_prices[[#This Row],[Date]])</f>
        <v>2022</v>
      </c>
      <c r="F632" s="5">
        <v>105.08333333333</v>
      </c>
      <c r="G632" s="2">
        <f ca="1">ROUND(IFERROR((Fuel_prices[[#This Row],[Crude_Oil_Price]]-OFFSET(Fuel_prices[[#This Row],[Crude_Oil_Price]],-1,0)),0),2)</f>
        <v>-11.72</v>
      </c>
      <c r="H632" s="2">
        <f ca="1">ROUND((IFERROR((Fuel_prices[[#This Row],[Crude_Oil_Price]]-OFFSET(Fuel_prices[[#This Row],[Crude_Oil_Price]],-1,0))/(OFFSET(Fuel_prices[[#This Row],[Crude_Oil_Price]],-1,0)),0))*100,2)</f>
        <v>-10.029999999999999</v>
      </c>
      <c r="I632" s="2" t="str" cm="1">
        <f t="array" aca="1" ref="I632" ca="1">_xlfn.IFS(
    ABS(Fuel_prices[[#This Row],[%_change]])&gt;50,"SEVERE IMPACT",
    ABS(Fuel_prices[[#This Row],[%_change]])&gt;25,"HIGH IMPACT",
    ABS(Fuel_prices[[#This Row],[%_change]])&gt;5,"MID IMPACT",
    ABS(Fuel_prices[[#This Row],[%_change]])&lt;=5,"LITTLE IMPACT"
)</f>
        <v>MID IMPACT</v>
      </c>
    </row>
    <row r="633" spans="1:9" x14ac:dyDescent="0.25">
      <c r="A633" s="4">
        <v>44774</v>
      </c>
      <c r="B633" s="6" t="str">
        <f>_xlfn.CONCAT("Q",CEILING(Fuel_prices[[#This Row],[Month]]/3,1))</f>
        <v>Q3</v>
      </c>
      <c r="C633" s="6">
        <f>MONTH(Fuel_prices[[#This Row],[Date]])</f>
        <v>8</v>
      </c>
      <c r="D633" s="6" t="str">
        <f>TEXT(Fuel_prices[[#This Row],[Date]],"mmm")</f>
        <v>Aug</v>
      </c>
      <c r="E633" s="6">
        <f>YEAR(Fuel_prices[[#This Row],[Date]])</f>
        <v>2022</v>
      </c>
      <c r="F633" s="5">
        <v>95.973333333330004</v>
      </c>
      <c r="G633" s="2">
        <f ca="1">ROUND(IFERROR((Fuel_prices[[#This Row],[Crude_Oil_Price]]-OFFSET(Fuel_prices[[#This Row],[Crude_Oil_Price]],-1,0)),0),2)</f>
        <v>-9.11</v>
      </c>
      <c r="H633" s="2">
        <f ca="1">ROUND((IFERROR((Fuel_prices[[#This Row],[Crude_Oil_Price]]-OFFSET(Fuel_prices[[#This Row],[Crude_Oil_Price]],-1,0))/(OFFSET(Fuel_prices[[#This Row],[Crude_Oil_Price]],-1,0)),0))*100,2)</f>
        <v>-8.67</v>
      </c>
      <c r="I633" s="2" t="str" cm="1">
        <f t="array" aca="1" ref="I633" ca="1">_xlfn.IFS(
    ABS(Fuel_prices[[#This Row],[%_change]])&gt;50,"SEVERE IMPACT",
    ABS(Fuel_prices[[#This Row],[%_change]])&gt;25,"HIGH IMPACT",
    ABS(Fuel_prices[[#This Row],[%_change]])&gt;5,"MID IMPACT",
    ABS(Fuel_prices[[#This Row],[%_change]])&lt;=5,"LITTLE IMPACT"
)</f>
        <v>MID IMPACT</v>
      </c>
    </row>
    <row r="634" spans="1:9" x14ac:dyDescent="0.25">
      <c r="A634" s="4">
        <v>44805</v>
      </c>
      <c r="B634" s="6" t="str">
        <f>_xlfn.CONCAT("Q",CEILING(Fuel_prices[[#This Row],[Month]]/3,1))</f>
        <v>Q3</v>
      </c>
      <c r="C634" s="6">
        <f>MONTH(Fuel_prices[[#This Row],[Date]])</f>
        <v>9</v>
      </c>
      <c r="D634" s="6" t="str">
        <f>TEXT(Fuel_prices[[#This Row],[Date]],"mmm")</f>
        <v>Sep</v>
      </c>
      <c r="E634" s="6">
        <f>YEAR(Fuel_prices[[#This Row],[Date]])</f>
        <v>2022</v>
      </c>
      <c r="F634" s="5">
        <v>88.22</v>
      </c>
      <c r="G634" s="2">
        <f ca="1">ROUND(IFERROR((Fuel_prices[[#This Row],[Crude_Oil_Price]]-OFFSET(Fuel_prices[[#This Row],[Crude_Oil_Price]],-1,0)),0),2)</f>
        <v>-7.75</v>
      </c>
      <c r="H634" s="2">
        <f ca="1">ROUND((IFERROR((Fuel_prices[[#This Row],[Crude_Oil_Price]]-OFFSET(Fuel_prices[[#This Row],[Crude_Oil_Price]],-1,0))/(OFFSET(Fuel_prices[[#This Row],[Crude_Oil_Price]],-1,0)),0))*100,2)</f>
        <v>-8.08</v>
      </c>
      <c r="I634" s="2" t="str" cm="1">
        <f t="array" aca="1" ref="I634" ca="1">_xlfn.IFS(
    ABS(Fuel_prices[[#This Row],[%_change]])&gt;50,"SEVERE IMPACT",
    ABS(Fuel_prices[[#This Row],[%_change]])&gt;25,"HIGH IMPACT",
    ABS(Fuel_prices[[#This Row],[%_change]])&gt;5,"MID IMPACT",
    ABS(Fuel_prices[[#This Row],[%_change]])&lt;=5,"LITTLE IMPACT"
)</f>
        <v>MID IMPACT</v>
      </c>
    </row>
    <row r="635" spans="1:9" x14ac:dyDescent="0.25">
      <c r="A635" s="4">
        <v>44835</v>
      </c>
      <c r="B635" s="6" t="str">
        <f>_xlfn.CONCAT("Q",CEILING(Fuel_prices[[#This Row],[Month]]/3,1))</f>
        <v>Q4</v>
      </c>
      <c r="C635" s="6">
        <f>MONTH(Fuel_prices[[#This Row],[Date]])</f>
        <v>10</v>
      </c>
      <c r="D635" s="6" t="str">
        <f>TEXT(Fuel_prices[[#This Row],[Date]],"mmm")</f>
        <v>Oct</v>
      </c>
      <c r="E635" s="6">
        <f>YEAR(Fuel_prices[[#This Row],[Date]])</f>
        <v>2022</v>
      </c>
      <c r="F635" s="5">
        <v>90.326666666669993</v>
      </c>
      <c r="G635" s="2">
        <f ca="1">ROUND(IFERROR((Fuel_prices[[#This Row],[Crude_Oil_Price]]-OFFSET(Fuel_prices[[#This Row],[Crude_Oil_Price]],-1,0)),0),2)</f>
        <v>2.11</v>
      </c>
      <c r="H635" s="2">
        <f ca="1">ROUND((IFERROR((Fuel_prices[[#This Row],[Crude_Oil_Price]]-OFFSET(Fuel_prices[[#This Row],[Crude_Oil_Price]],-1,0))/(OFFSET(Fuel_prices[[#This Row],[Crude_Oil_Price]],-1,0)),0))*100,2)</f>
        <v>2.39</v>
      </c>
      <c r="I635" s="2" t="str" cm="1">
        <f t="array" aca="1" ref="I635" ca="1">_xlfn.IFS(
    ABS(Fuel_prices[[#This Row],[%_change]])&gt;50,"SEVERE IMPACT",
    ABS(Fuel_prices[[#This Row],[%_change]])&gt;25,"HIGH IMPACT",
    ABS(Fuel_prices[[#This Row],[%_change]])&gt;5,"MID IMPACT",
    ABS(Fuel_prices[[#This Row],[%_change]])&lt;=5,"LITTLE IMPACT"
)</f>
        <v>LITTLE IMPACT</v>
      </c>
    </row>
    <row r="636" spans="1:9" x14ac:dyDescent="0.25">
      <c r="A636" s="4">
        <v>44866</v>
      </c>
      <c r="B636" s="6" t="str">
        <f>_xlfn.CONCAT("Q",CEILING(Fuel_prices[[#This Row],[Month]]/3,1))</f>
        <v>Q4</v>
      </c>
      <c r="C636" s="6">
        <f>MONTH(Fuel_prices[[#This Row],[Date]])</f>
        <v>11</v>
      </c>
      <c r="D636" s="6" t="str">
        <f>TEXT(Fuel_prices[[#This Row],[Date]],"mmm")</f>
        <v>Nov</v>
      </c>
      <c r="E636" s="6">
        <f>YEAR(Fuel_prices[[#This Row],[Date]])</f>
        <v>2022</v>
      </c>
      <c r="F636" s="5">
        <v>87.376666666670005</v>
      </c>
      <c r="G636" s="2">
        <f ca="1">ROUND(IFERROR((Fuel_prices[[#This Row],[Crude_Oil_Price]]-OFFSET(Fuel_prices[[#This Row],[Crude_Oil_Price]],-1,0)),0),2)</f>
        <v>-2.95</v>
      </c>
      <c r="H636" s="2">
        <f ca="1">ROUND((IFERROR((Fuel_prices[[#This Row],[Crude_Oil_Price]]-OFFSET(Fuel_prices[[#This Row],[Crude_Oil_Price]],-1,0))/(OFFSET(Fuel_prices[[#This Row],[Crude_Oil_Price]],-1,0)),0))*100,2)</f>
        <v>-3.27</v>
      </c>
      <c r="I636" s="2" t="str" cm="1">
        <f t="array" aca="1" ref="I636" ca="1">_xlfn.IFS(
    ABS(Fuel_prices[[#This Row],[%_change]])&gt;50,"SEVERE IMPACT",
    ABS(Fuel_prices[[#This Row],[%_change]])&gt;25,"HIGH IMPACT",
    ABS(Fuel_prices[[#This Row],[%_change]])&gt;5,"MID IMPACT",
    ABS(Fuel_prices[[#This Row],[%_change]])&lt;=5,"LITTLE IMPACT"
)</f>
        <v>LITTLE IMPACT</v>
      </c>
    </row>
    <row r="637" spans="1:9" x14ac:dyDescent="0.25">
      <c r="A637" s="4">
        <v>44896</v>
      </c>
      <c r="B637" s="6" t="str">
        <f>_xlfn.CONCAT("Q",CEILING(Fuel_prices[[#This Row],[Month]]/3,1))</f>
        <v>Q4</v>
      </c>
      <c r="C637" s="6">
        <f>MONTH(Fuel_prices[[#This Row],[Date]])</f>
        <v>12</v>
      </c>
      <c r="D637" s="6" t="str">
        <f>TEXT(Fuel_prices[[#This Row],[Date]],"mmm")</f>
        <v>Dec</v>
      </c>
      <c r="E637" s="6">
        <f>YEAR(Fuel_prices[[#This Row],[Date]])</f>
        <v>2022</v>
      </c>
      <c r="F637" s="5">
        <v>78.066666666670002</v>
      </c>
      <c r="G637" s="2">
        <f ca="1">ROUND(IFERROR((Fuel_prices[[#This Row],[Crude_Oil_Price]]-OFFSET(Fuel_prices[[#This Row],[Crude_Oil_Price]],-1,0)),0),2)</f>
        <v>-9.31</v>
      </c>
      <c r="H637" s="2">
        <f ca="1">ROUND((IFERROR((Fuel_prices[[#This Row],[Crude_Oil_Price]]-OFFSET(Fuel_prices[[#This Row],[Crude_Oil_Price]],-1,0))/(OFFSET(Fuel_prices[[#This Row],[Crude_Oil_Price]],-1,0)),0))*100,2)</f>
        <v>-10.66</v>
      </c>
      <c r="I637" s="2" t="str" cm="1">
        <f t="array" aca="1" ref="I637" ca="1">_xlfn.IFS(
    ABS(Fuel_prices[[#This Row],[%_change]])&gt;50,"SEVERE IMPACT",
    ABS(Fuel_prices[[#This Row],[%_change]])&gt;25,"HIGH IMPACT",
    ABS(Fuel_prices[[#This Row],[%_change]])&gt;5,"MID IMPACT",
    ABS(Fuel_prices[[#This Row],[%_change]])&lt;=5,"LITTLE IMPACT"
)</f>
        <v>MID IMPACT</v>
      </c>
    </row>
    <row r="638" spans="1:9" x14ac:dyDescent="0.25">
      <c r="A638" s="4">
        <v>44927</v>
      </c>
      <c r="B638" s="6" t="str">
        <f>_xlfn.CONCAT("Q",CEILING(Fuel_prices[[#This Row],[Month]]/3,1))</f>
        <v>Q1</v>
      </c>
      <c r="C638" s="6">
        <f>MONTH(Fuel_prices[[#This Row],[Date]])</f>
        <v>1</v>
      </c>
      <c r="D638" s="6" t="str">
        <f>TEXT(Fuel_prices[[#This Row],[Date]],"mmm")</f>
        <v>Jan</v>
      </c>
      <c r="E638" s="6">
        <f>YEAR(Fuel_prices[[#This Row],[Date]])</f>
        <v>2023</v>
      </c>
      <c r="F638" s="5">
        <v>80.41</v>
      </c>
      <c r="G638" s="2">
        <f ca="1">ROUND(IFERROR((Fuel_prices[[#This Row],[Crude_Oil_Price]]-OFFSET(Fuel_prices[[#This Row],[Crude_Oil_Price]],-1,0)),0),2)</f>
        <v>2.34</v>
      </c>
      <c r="H638" s="2">
        <f ca="1">ROUND((IFERROR((Fuel_prices[[#This Row],[Crude_Oil_Price]]-OFFSET(Fuel_prices[[#This Row],[Crude_Oil_Price]],-1,0))/(OFFSET(Fuel_prices[[#This Row],[Crude_Oil_Price]],-1,0)),0))*100,2)</f>
        <v>3</v>
      </c>
      <c r="I638" s="2" t="str" cm="1">
        <f t="array" aca="1" ref="I638" ca="1">_xlfn.IFS(
    ABS(Fuel_prices[[#This Row],[%_change]])&gt;50,"SEVERE IMPACT",
    ABS(Fuel_prices[[#This Row],[%_change]])&gt;25,"HIGH IMPACT",
    ABS(Fuel_prices[[#This Row],[%_change]])&gt;5,"MID IMPACT",
    ABS(Fuel_prices[[#This Row],[%_change]])&lt;=5,"LITTLE IMPACT"
)</f>
        <v>LITTLE IMPACT</v>
      </c>
    </row>
    <row r="639" spans="1:9" x14ac:dyDescent="0.25">
      <c r="A639" s="4">
        <v>44958</v>
      </c>
      <c r="B639" s="6" t="str">
        <f>_xlfn.CONCAT("Q",CEILING(Fuel_prices[[#This Row],[Month]]/3,1))</f>
        <v>Q1</v>
      </c>
      <c r="C639" s="6">
        <f>MONTH(Fuel_prices[[#This Row],[Date]])</f>
        <v>2</v>
      </c>
      <c r="D639" s="6" t="str">
        <f>TEXT(Fuel_prices[[#This Row],[Date]],"mmm")</f>
        <v>Feb</v>
      </c>
      <c r="E639" s="6">
        <f>YEAR(Fuel_prices[[#This Row],[Date]])</f>
        <v>2023</v>
      </c>
      <c r="F639" s="5">
        <v>80.253333333330005</v>
      </c>
      <c r="G639" s="2">
        <f ca="1">ROUND(IFERROR((Fuel_prices[[#This Row],[Crude_Oil_Price]]-OFFSET(Fuel_prices[[#This Row],[Crude_Oil_Price]],-1,0)),0),2)</f>
        <v>-0.16</v>
      </c>
      <c r="H639" s="2">
        <f ca="1">ROUND((IFERROR((Fuel_prices[[#This Row],[Crude_Oil_Price]]-OFFSET(Fuel_prices[[#This Row],[Crude_Oil_Price]],-1,0))/(OFFSET(Fuel_prices[[#This Row],[Crude_Oil_Price]],-1,0)),0))*100,2)</f>
        <v>-0.19</v>
      </c>
      <c r="I639" s="2" t="str" cm="1">
        <f t="array" aca="1" ref="I639" ca="1">_xlfn.IFS(
    ABS(Fuel_prices[[#This Row],[%_change]])&gt;50,"SEVERE IMPACT",
    ABS(Fuel_prices[[#This Row],[%_change]])&gt;25,"HIGH IMPACT",
    ABS(Fuel_prices[[#This Row],[%_change]])&gt;5,"MID IMPACT",
    ABS(Fuel_prices[[#This Row],[%_change]])&lt;=5,"LITTLE IMPACT"
)</f>
        <v>LITTLE IMPACT</v>
      </c>
    </row>
    <row r="640" spans="1:9" x14ac:dyDescent="0.25">
      <c r="A640" s="4">
        <v>44986</v>
      </c>
      <c r="B640" s="6" t="str">
        <f>_xlfn.CONCAT("Q",CEILING(Fuel_prices[[#This Row],[Month]]/3,1))</f>
        <v>Q1</v>
      </c>
      <c r="C640" s="6">
        <f>MONTH(Fuel_prices[[#This Row],[Date]])</f>
        <v>3</v>
      </c>
      <c r="D640" s="6" t="str">
        <f>TEXT(Fuel_prices[[#This Row],[Date]],"mmm")</f>
        <v>Mar</v>
      </c>
      <c r="E640" s="6">
        <f>YEAR(Fuel_prices[[#This Row],[Date]])</f>
        <v>2023</v>
      </c>
      <c r="F640" s="5">
        <v>76.473333333330004</v>
      </c>
      <c r="G640" s="2">
        <f ca="1">ROUND(IFERROR((Fuel_prices[[#This Row],[Crude_Oil_Price]]-OFFSET(Fuel_prices[[#This Row],[Crude_Oil_Price]],-1,0)),0),2)</f>
        <v>-3.78</v>
      </c>
      <c r="H640" s="2">
        <f ca="1">ROUND((IFERROR((Fuel_prices[[#This Row],[Crude_Oil_Price]]-OFFSET(Fuel_prices[[#This Row],[Crude_Oil_Price]],-1,0))/(OFFSET(Fuel_prices[[#This Row],[Crude_Oil_Price]],-1,0)),0))*100,2)</f>
        <v>-4.71</v>
      </c>
      <c r="I640" s="2" t="str" cm="1">
        <f t="array" aca="1" ref="I640" ca="1">_xlfn.IFS(
    ABS(Fuel_prices[[#This Row],[%_change]])&gt;50,"SEVERE IMPACT",
    ABS(Fuel_prices[[#This Row],[%_change]])&gt;25,"HIGH IMPACT",
    ABS(Fuel_prices[[#This Row],[%_change]])&gt;5,"MID IMPACT",
    ABS(Fuel_prices[[#This Row],[%_change]])&lt;=5,"LITTLE IMPACT"
)</f>
        <v>LITTLE IMPACT</v>
      </c>
    </row>
    <row r="641" spans="1:9" x14ac:dyDescent="0.25">
      <c r="A641" s="4">
        <v>45017</v>
      </c>
      <c r="B641" s="6" t="str">
        <f>_xlfn.CONCAT("Q",CEILING(Fuel_prices[[#This Row],[Month]]/3,1))</f>
        <v>Q2</v>
      </c>
      <c r="C641" s="6">
        <f>MONTH(Fuel_prices[[#This Row],[Date]])</f>
        <v>4</v>
      </c>
      <c r="D641" s="6" t="str">
        <f>TEXT(Fuel_prices[[#This Row],[Date]],"mmm")</f>
        <v>Apr</v>
      </c>
      <c r="E641" s="6">
        <f>YEAR(Fuel_prices[[#This Row],[Date]])</f>
        <v>2023</v>
      </c>
      <c r="F641" s="5">
        <v>82.46</v>
      </c>
      <c r="G641" s="2">
        <f ca="1">ROUND(IFERROR((Fuel_prices[[#This Row],[Crude_Oil_Price]]-OFFSET(Fuel_prices[[#This Row],[Crude_Oil_Price]],-1,0)),0),2)</f>
        <v>5.99</v>
      </c>
      <c r="H641" s="2">
        <f ca="1">ROUND((IFERROR((Fuel_prices[[#This Row],[Crude_Oil_Price]]-OFFSET(Fuel_prices[[#This Row],[Crude_Oil_Price]],-1,0))/(OFFSET(Fuel_prices[[#This Row],[Crude_Oil_Price]],-1,0)),0))*100,2)</f>
        <v>7.83</v>
      </c>
      <c r="I641" s="2" t="str" cm="1">
        <f t="array" aca="1" ref="I641" ca="1">_xlfn.IFS(
    ABS(Fuel_prices[[#This Row],[%_change]])&gt;50,"SEVERE IMPACT",
    ABS(Fuel_prices[[#This Row],[%_change]])&gt;25,"HIGH IMPACT",
    ABS(Fuel_prices[[#This Row],[%_change]])&gt;5,"MID IMPACT",
    ABS(Fuel_prices[[#This Row],[%_change]])&lt;=5,"LITTLE IMPACT"
)</f>
        <v>MID IMPACT</v>
      </c>
    </row>
    <row r="642" spans="1:9" x14ac:dyDescent="0.25">
      <c r="A642" s="4">
        <v>45047</v>
      </c>
      <c r="B642" s="6" t="str">
        <f>_xlfn.CONCAT("Q",CEILING(Fuel_prices[[#This Row],[Month]]/3,1))</f>
        <v>Q2</v>
      </c>
      <c r="C642" s="6">
        <f>MONTH(Fuel_prices[[#This Row],[Date]])</f>
        <v>5</v>
      </c>
      <c r="D642" s="6" t="str">
        <f>TEXT(Fuel_prices[[#This Row],[Date]],"mmm")</f>
        <v>May</v>
      </c>
      <c r="E642" s="6">
        <f>YEAR(Fuel_prices[[#This Row],[Date]])</f>
        <v>2023</v>
      </c>
      <c r="F642" s="5">
        <v>74.123333333329995</v>
      </c>
      <c r="G642" s="2">
        <f ca="1">ROUND(IFERROR((Fuel_prices[[#This Row],[Crude_Oil_Price]]-OFFSET(Fuel_prices[[#This Row],[Crude_Oil_Price]],-1,0)),0),2)</f>
        <v>-8.34</v>
      </c>
      <c r="H642" s="2">
        <f ca="1">ROUND((IFERROR((Fuel_prices[[#This Row],[Crude_Oil_Price]]-OFFSET(Fuel_prices[[#This Row],[Crude_Oil_Price]],-1,0))/(OFFSET(Fuel_prices[[#This Row],[Crude_Oil_Price]],-1,0)),0))*100,2)</f>
        <v>-10.11</v>
      </c>
      <c r="I642" s="2" t="str" cm="1">
        <f t="array" aca="1" ref="I642" ca="1">_xlfn.IFS(
    ABS(Fuel_prices[[#This Row],[%_change]])&gt;50,"SEVERE IMPACT",
    ABS(Fuel_prices[[#This Row],[%_change]])&gt;25,"HIGH IMPACT",
    ABS(Fuel_prices[[#This Row],[%_change]])&gt;5,"MID IMPACT",
    ABS(Fuel_prices[[#This Row],[%_change]])&lt;=5,"LITTLE IMPACT"
)</f>
        <v>MID IMPACT</v>
      </c>
    </row>
    <row r="643" spans="1:9" x14ac:dyDescent="0.25">
      <c r="A643" s="4">
        <v>45078</v>
      </c>
      <c r="B643" s="6" t="str">
        <f>_xlfn.CONCAT("Q",CEILING(Fuel_prices[[#This Row],[Month]]/3,1))</f>
        <v>Q2</v>
      </c>
      <c r="C643" s="6">
        <f>MONTH(Fuel_prices[[#This Row],[Date]])</f>
        <v>6</v>
      </c>
      <c r="D643" s="6" t="str">
        <f>TEXT(Fuel_prices[[#This Row],[Date]],"mmm")</f>
        <v>Jun</v>
      </c>
      <c r="E643" s="6">
        <f>YEAR(Fuel_prices[[#This Row],[Date]])</f>
        <v>2023</v>
      </c>
      <c r="F643" s="5">
        <v>73.263333333329996</v>
      </c>
      <c r="G643" s="2">
        <f ca="1">ROUND(IFERROR((Fuel_prices[[#This Row],[Crude_Oil_Price]]-OFFSET(Fuel_prices[[#This Row],[Crude_Oil_Price]],-1,0)),0),2)</f>
        <v>-0.86</v>
      </c>
      <c r="H643" s="2">
        <f ca="1">ROUND((IFERROR((Fuel_prices[[#This Row],[Crude_Oil_Price]]-OFFSET(Fuel_prices[[#This Row],[Crude_Oil_Price]],-1,0))/(OFFSET(Fuel_prices[[#This Row],[Crude_Oil_Price]],-1,0)),0))*100,2)</f>
        <v>-1.1599999999999999</v>
      </c>
      <c r="I643" s="2" t="str" cm="1">
        <f t="array" aca="1" ref="I643" ca="1">_xlfn.IFS(
    ABS(Fuel_prices[[#This Row],[%_change]])&gt;50,"SEVERE IMPACT",
    ABS(Fuel_prices[[#This Row],[%_change]])&gt;25,"HIGH IMPACT",
    ABS(Fuel_prices[[#This Row],[%_change]])&gt;5,"MID IMPACT",
    ABS(Fuel_prices[[#This Row],[%_change]])&lt;=5,"LITTLE IMPACT"
)</f>
        <v>LITTLE IMPACT</v>
      </c>
    </row>
    <row r="644" spans="1:9" x14ac:dyDescent="0.25">
      <c r="A644" s="4">
        <v>45108</v>
      </c>
      <c r="B644" s="6" t="str">
        <f>_xlfn.CONCAT("Q",CEILING(Fuel_prices[[#This Row],[Month]]/3,1))</f>
        <v>Q3</v>
      </c>
      <c r="C644" s="6">
        <f>MONTH(Fuel_prices[[#This Row],[Date]])</f>
        <v>7</v>
      </c>
      <c r="D644" s="6" t="str">
        <f>TEXT(Fuel_prices[[#This Row],[Date]],"mmm")</f>
        <v>Jul</v>
      </c>
      <c r="E644" s="6">
        <f>YEAR(Fuel_prices[[#This Row],[Date]])</f>
        <v>2023</v>
      </c>
      <c r="F644" s="5">
        <v>78.983333333329995</v>
      </c>
      <c r="G644" s="2">
        <f ca="1">ROUND(IFERROR((Fuel_prices[[#This Row],[Crude_Oil_Price]]-OFFSET(Fuel_prices[[#This Row],[Crude_Oil_Price]],-1,0)),0),2)</f>
        <v>5.72</v>
      </c>
      <c r="H644" s="2">
        <f ca="1">ROUND((IFERROR((Fuel_prices[[#This Row],[Crude_Oil_Price]]-OFFSET(Fuel_prices[[#This Row],[Crude_Oil_Price]],-1,0))/(OFFSET(Fuel_prices[[#This Row],[Crude_Oil_Price]],-1,0)),0))*100,2)</f>
        <v>7.81</v>
      </c>
      <c r="I644" s="2" t="str" cm="1">
        <f t="array" aca="1" ref="I644" ca="1">_xlfn.IFS(
    ABS(Fuel_prices[[#This Row],[%_change]])&gt;50,"SEVERE IMPACT",
    ABS(Fuel_prices[[#This Row],[%_change]])&gt;25,"HIGH IMPACT",
    ABS(Fuel_prices[[#This Row],[%_change]])&gt;5,"MID IMPACT",
    ABS(Fuel_prices[[#This Row],[%_change]])&lt;=5,"LITTLE IMPACT"
)</f>
        <v>MID IMPACT</v>
      </c>
    </row>
    <row r="645" spans="1:9" x14ac:dyDescent="0.25">
      <c r="A645" s="4">
        <v>45139</v>
      </c>
      <c r="B645" s="6" t="str">
        <f>_xlfn.CONCAT("Q",CEILING(Fuel_prices[[#This Row],[Month]]/3,1))</f>
        <v>Q3</v>
      </c>
      <c r="C645" s="6">
        <f>MONTH(Fuel_prices[[#This Row],[Date]])</f>
        <v>8</v>
      </c>
      <c r="D645" s="6" t="str">
        <f>TEXT(Fuel_prices[[#This Row],[Date]],"mmm")</f>
        <v>Aug</v>
      </c>
      <c r="E645" s="6">
        <f>YEAR(Fuel_prices[[#This Row],[Date]])</f>
        <v>2023</v>
      </c>
      <c r="F645" s="5">
        <v>84.724333333329994</v>
      </c>
      <c r="G645" s="2">
        <f ca="1">ROUND(IFERROR((Fuel_prices[[#This Row],[Crude_Oil_Price]]-OFFSET(Fuel_prices[[#This Row],[Crude_Oil_Price]],-1,0)),0),2)</f>
        <v>5.74</v>
      </c>
      <c r="H645" s="2">
        <f ca="1">ROUND((IFERROR((Fuel_prices[[#This Row],[Crude_Oil_Price]]-OFFSET(Fuel_prices[[#This Row],[Crude_Oil_Price]],-1,0))/(OFFSET(Fuel_prices[[#This Row],[Crude_Oil_Price]],-1,0)),0))*100,2)</f>
        <v>7.27</v>
      </c>
      <c r="I645" s="2" t="str" cm="1">
        <f t="array" aca="1" ref="I645" ca="1">_xlfn.IFS(
    ABS(Fuel_prices[[#This Row],[%_change]])&gt;50,"SEVERE IMPACT",
    ABS(Fuel_prices[[#This Row],[%_change]])&gt;25,"HIGH IMPACT",
    ABS(Fuel_prices[[#This Row],[%_change]])&gt;5,"MID IMPACT",
    ABS(Fuel_prices[[#This Row],[%_change]])&lt;=5,"LITTLE IMPACT"
)</f>
        <v>MID IMPACT</v>
      </c>
    </row>
    <row r="646" spans="1:9" x14ac:dyDescent="0.25">
      <c r="A646" s="4">
        <v>45170</v>
      </c>
      <c r="B646" s="6" t="str">
        <f>_xlfn.CONCAT("Q",CEILING(Fuel_prices[[#This Row],[Month]]/3,1))</f>
        <v>Q3</v>
      </c>
      <c r="C646" s="6">
        <f>MONTH(Fuel_prices[[#This Row],[Date]])</f>
        <v>9</v>
      </c>
      <c r="D646" s="6" t="str">
        <f>TEXT(Fuel_prices[[#This Row],[Date]],"mmm")</f>
        <v>Sep</v>
      </c>
      <c r="E646" s="6">
        <f>YEAR(Fuel_prices[[#This Row],[Date]])</f>
        <v>2023</v>
      </c>
      <c r="F646" s="5">
        <v>92.22</v>
      </c>
      <c r="G646" s="2">
        <f ca="1">ROUND(IFERROR((Fuel_prices[[#This Row],[Crude_Oil_Price]]-OFFSET(Fuel_prices[[#This Row],[Crude_Oil_Price]],-1,0)),0),2)</f>
        <v>7.5</v>
      </c>
      <c r="H646" s="2">
        <f ca="1">ROUND((IFERROR((Fuel_prices[[#This Row],[Crude_Oil_Price]]-OFFSET(Fuel_prices[[#This Row],[Crude_Oil_Price]],-1,0))/(OFFSET(Fuel_prices[[#This Row],[Crude_Oil_Price]],-1,0)),0))*100,2)</f>
        <v>8.85</v>
      </c>
      <c r="I646" s="2" t="str" cm="1">
        <f t="array" aca="1" ref="I646" ca="1">_xlfn.IFS(
    ABS(Fuel_prices[[#This Row],[%_change]])&gt;50,"SEVERE IMPACT",
    ABS(Fuel_prices[[#This Row],[%_change]])&gt;25,"HIGH IMPACT",
    ABS(Fuel_prices[[#This Row],[%_change]])&gt;5,"MID IMPACT",
    ABS(Fuel_prices[[#This Row],[%_change]])&lt;=5,"LITTLE IMPACT"
)</f>
        <v>MID IMPACT</v>
      </c>
    </row>
    <row r="647" spans="1:9" x14ac:dyDescent="0.25">
      <c r="A647" s="4">
        <v>45200</v>
      </c>
      <c r="B647" s="6" t="str">
        <f>_xlfn.CONCAT("Q",CEILING(Fuel_prices[[#This Row],[Month]]/3,1))</f>
        <v>Q4</v>
      </c>
      <c r="C647" s="6">
        <f>MONTH(Fuel_prices[[#This Row],[Date]])</f>
        <v>10</v>
      </c>
      <c r="D647" s="6" t="str">
        <f>TEXT(Fuel_prices[[#This Row],[Date]],"mmm")</f>
        <v>Oct</v>
      </c>
      <c r="E647" s="6">
        <f>YEAR(Fuel_prices[[#This Row],[Date]])</f>
        <v>2023</v>
      </c>
      <c r="F647" s="5">
        <v>89.083666666669998</v>
      </c>
      <c r="G647" s="2">
        <f ca="1">ROUND(IFERROR((Fuel_prices[[#This Row],[Crude_Oil_Price]]-OFFSET(Fuel_prices[[#This Row],[Crude_Oil_Price]],-1,0)),0),2)</f>
        <v>-3.14</v>
      </c>
      <c r="H647" s="2">
        <f ca="1">ROUND((IFERROR((Fuel_prices[[#This Row],[Crude_Oil_Price]]-OFFSET(Fuel_prices[[#This Row],[Crude_Oil_Price]],-1,0))/(OFFSET(Fuel_prices[[#This Row],[Crude_Oil_Price]],-1,0)),0))*100,2)</f>
        <v>-3.4</v>
      </c>
      <c r="I647" s="2" t="str" cm="1">
        <f t="array" aca="1" ref="I647" ca="1">_xlfn.IFS(
    ABS(Fuel_prices[[#This Row],[%_change]])&gt;50,"SEVERE IMPACT",
    ABS(Fuel_prices[[#This Row],[%_change]])&gt;25,"HIGH IMPACT",
    ABS(Fuel_prices[[#This Row],[%_change]])&gt;5,"MID IMPACT",
    ABS(Fuel_prices[[#This Row],[%_change]])&lt;=5,"LITTLE IMPACT"
)</f>
        <v>LITTLE IMPACT</v>
      </c>
    </row>
    <row r="648" spans="1:9" x14ac:dyDescent="0.25">
      <c r="A648" s="4">
        <v>45231</v>
      </c>
      <c r="B648" s="6" t="str">
        <f>_xlfn.CONCAT("Q",CEILING(Fuel_prices[[#This Row],[Month]]/3,1))</f>
        <v>Q4</v>
      </c>
      <c r="C648" s="6">
        <f>MONTH(Fuel_prices[[#This Row],[Date]])</f>
        <v>11</v>
      </c>
      <c r="D648" s="6" t="str">
        <f>TEXT(Fuel_prices[[#This Row],[Date]],"mmm")</f>
        <v>Nov</v>
      </c>
      <c r="E648" s="6">
        <f>YEAR(Fuel_prices[[#This Row],[Date]])</f>
        <v>2023</v>
      </c>
      <c r="F648" s="5">
        <v>81.354333333330004</v>
      </c>
      <c r="G648" s="2">
        <f ca="1">ROUND(IFERROR((Fuel_prices[[#This Row],[Crude_Oil_Price]]-OFFSET(Fuel_prices[[#This Row],[Crude_Oil_Price]],-1,0)),0),2)</f>
        <v>-7.73</v>
      </c>
      <c r="H648" s="2">
        <f ca="1">ROUND((IFERROR((Fuel_prices[[#This Row],[Crude_Oil_Price]]-OFFSET(Fuel_prices[[#This Row],[Crude_Oil_Price]],-1,0))/(OFFSET(Fuel_prices[[#This Row],[Crude_Oil_Price]],-1,0)),0))*100,2)</f>
        <v>-8.68</v>
      </c>
      <c r="I648" s="2" t="str" cm="1">
        <f t="array" aca="1" ref="I648" ca="1">_xlfn.IFS(
    ABS(Fuel_prices[[#This Row],[%_change]])&gt;50,"SEVERE IMPACT",
    ABS(Fuel_prices[[#This Row],[%_change]])&gt;25,"HIGH IMPACT",
    ABS(Fuel_prices[[#This Row],[%_change]])&gt;5,"MID IMPACT",
    ABS(Fuel_prices[[#This Row],[%_change]])&lt;=5,"LITTLE IMPACT"
)</f>
        <v>MID IMPACT</v>
      </c>
    </row>
    <row r="649" spans="1:9" x14ac:dyDescent="0.25">
      <c r="A649" s="4">
        <v>45261</v>
      </c>
      <c r="B649" s="6" t="str">
        <f>_xlfn.CONCAT("Q",CEILING(Fuel_prices[[#This Row],[Month]]/3,1))</f>
        <v>Q4</v>
      </c>
      <c r="C649" s="6">
        <f>MONTH(Fuel_prices[[#This Row],[Date]])</f>
        <v>12</v>
      </c>
      <c r="D649" s="6" t="str">
        <f>TEXT(Fuel_prices[[#This Row],[Date]],"mmm")</f>
        <v>Dec</v>
      </c>
      <c r="E649" s="6">
        <f>YEAR(Fuel_prices[[#This Row],[Date]])</f>
        <v>2023</v>
      </c>
      <c r="F649" s="5">
        <v>75.719333333329999</v>
      </c>
      <c r="G649" s="2">
        <f ca="1">ROUND(IFERROR((Fuel_prices[[#This Row],[Crude_Oil_Price]]-OFFSET(Fuel_prices[[#This Row],[Crude_Oil_Price]],-1,0)),0),2)</f>
        <v>-5.64</v>
      </c>
      <c r="H649" s="2">
        <f ca="1">ROUND((IFERROR((Fuel_prices[[#This Row],[Crude_Oil_Price]]-OFFSET(Fuel_prices[[#This Row],[Crude_Oil_Price]],-1,0))/(OFFSET(Fuel_prices[[#This Row],[Crude_Oil_Price]],-1,0)),0))*100,2)</f>
        <v>-6.93</v>
      </c>
      <c r="I649" s="2" t="str" cm="1">
        <f t="array" aca="1" ref="I649" ca="1">_xlfn.IFS(
    ABS(Fuel_prices[[#This Row],[%_change]])&gt;50,"SEVERE IMPACT",
    ABS(Fuel_prices[[#This Row],[%_change]])&gt;25,"HIGH IMPACT",
    ABS(Fuel_prices[[#This Row],[%_change]])&gt;5,"MID IMPACT",
    ABS(Fuel_prices[[#This Row],[%_change]])&lt;=5,"LITTLE IMPACT"
)</f>
        <v>MID IMPACT</v>
      </c>
    </row>
    <row r="650" spans="1:9" x14ac:dyDescent="0.25">
      <c r="A650" s="4">
        <v>45292</v>
      </c>
      <c r="B650" s="6" t="str">
        <f>_xlfn.CONCAT("Q",CEILING(Fuel_prices[[#This Row],[Month]]/3,1))</f>
        <v>Q1</v>
      </c>
      <c r="C650" s="6">
        <f>MONTH(Fuel_prices[[#This Row],[Date]])</f>
        <v>1</v>
      </c>
      <c r="D650" s="6" t="str">
        <f>TEXT(Fuel_prices[[#This Row],[Date]],"mmm")</f>
        <v>Jan</v>
      </c>
      <c r="E650" s="6">
        <f>YEAR(Fuel_prices[[#This Row],[Date]])</f>
        <v>2024</v>
      </c>
      <c r="F650" s="5">
        <v>77.672333333330002</v>
      </c>
      <c r="G650" s="2">
        <f ca="1">ROUND(IFERROR((Fuel_prices[[#This Row],[Crude_Oil_Price]]-OFFSET(Fuel_prices[[#This Row],[Crude_Oil_Price]],-1,0)),0),2)</f>
        <v>1.95</v>
      </c>
      <c r="H650" s="2">
        <f ca="1">ROUND((IFERROR((Fuel_prices[[#This Row],[Crude_Oil_Price]]-OFFSET(Fuel_prices[[#This Row],[Crude_Oil_Price]],-1,0))/(OFFSET(Fuel_prices[[#This Row],[Crude_Oil_Price]],-1,0)),0))*100,2)</f>
        <v>2.58</v>
      </c>
      <c r="I650" s="2" t="str" cm="1">
        <f t="array" aca="1" ref="I650" ca="1">_xlfn.IFS(
    ABS(Fuel_prices[[#This Row],[%_change]])&gt;50,"SEVERE IMPACT",
    ABS(Fuel_prices[[#This Row],[%_change]])&gt;25,"HIGH IMPACT",
    ABS(Fuel_prices[[#This Row],[%_change]])&gt;5,"MID IMPACT",
    ABS(Fuel_prices[[#This Row],[%_change]])&lt;=5,"LITTLE IMPACT"
)</f>
        <v>LITTLE IMPACT</v>
      </c>
    </row>
    <row r="651" spans="1:9" x14ac:dyDescent="0.25">
      <c r="A651" s="4">
        <v>45323</v>
      </c>
      <c r="B651" s="6" t="str">
        <f>_xlfn.CONCAT("Q",CEILING(Fuel_prices[[#This Row],[Month]]/3,1))</f>
        <v>Q1</v>
      </c>
      <c r="C651" s="6">
        <f>MONTH(Fuel_prices[[#This Row],[Date]])</f>
        <v>2</v>
      </c>
      <c r="D651" s="6" t="str">
        <f>TEXT(Fuel_prices[[#This Row],[Date]],"mmm")</f>
        <v>Feb</v>
      </c>
      <c r="E651" s="6">
        <f>YEAR(Fuel_prices[[#This Row],[Date]])</f>
        <v>2024</v>
      </c>
      <c r="F651" s="5">
        <v>80.548000000000002</v>
      </c>
      <c r="G651" s="2">
        <f ca="1">ROUND(IFERROR((Fuel_prices[[#This Row],[Crude_Oil_Price]]-OFFSET(Fuel_prices[[#This Row],[Crude_Oil_Price]],-1,0)),0),2)</f>
        <v>2.88</v>
      </c>
      <c r="H651" s="2">
        <f ca="1">ROUND((IFERROR((Fuel_prices[[#This Row],[Crude_Oil_Price]]-OFFSET(Fuel_prices[[#This Row],[Crude_Oil_Price]],-1,0))/(OFFSET(Fuel_prices[[#This Row],[Crude_Oil_Price]],-1,0)),0))*100,2)</f>
        <v>3.7</v>
      </c>
      <c r="I651" s="2" t="str" cm="1">
        <f t="array" aca="1" ref="I651" ca="1">_xlfn.IFS(
    ABS(Fuel_prices[[#This Row],[%_change]])&gt;50,"SEVERE IMPACT",
    ABS(Fuel_prices[[#This Row],[%_change]])&gt;25,"HIGH IMPACT",
    ABS(Fuel_prices[[#This Row],[%_change]])&gt;5,"MID IMPACT",
    ABS(Fuel_prices[[#This Row],[%_change]])&lt;=5,"LITTLE IMPACT"
)</f>
        <v>LITTLE IMPACT</v>
      </c>
    </row>
    <row r="652" spans="1:9" x14ac:dyDescent="0.25">
      <c r="A652" s="4">
        <v>45352</v>
      </c>
      <c r="B652" s="6" t="str">
        <f>_xlfn.CONCAT("Q",CEILING(Fuel_prices[[#This Row],[Month]]/3,1))</f>
        <v>Q1</v>
      </c>
      <c r="C652" s="6">
        <f>MONTH(Fuel_prices[[#This Row],[Date]])</f>
        <v>3</v>
      </c>
      <c r="D652" s="6" t="str">
        <f>TEXT(Fuel_prices[[#This Row],[Date]],"mmm")</f>
        <v>Mar</v>
      </c>
      <c r="E652" s="6">
        <f>YEAR(Fuel_prices[[#This Row],[Date]])</f>
        <v>2024</v>
      </c>
      <c r="F652" s="5">
        <v>83.545666666670002</v>
      </c>
      <c r="G652" s="2">
        <f ca="1">ROUND(IFERROR((Fuel_prices[[#This Row],[Crude_Oil_Price]]-OFFSET(Fuel_prices[[#This Row],[Crude_Oil_Price]],-1,0)),0),2)</f>
        <v>3</v>
      </c>
      <c r="H652" s="2">
        <f ca="1">ROUND((IFERROR((Fuel_prices[[#This Row],[Crude_Oil_Price]]-OFFSET(Fuel_prices[[#This Row],[Crude_Oil_Price]],-1,0))/(OFFSET(Fuel_prices[[#This Row],[Crude_Oil_Price]],-1,0)),0))*100,2)</f>
        <v>3.72</v>
      </c>
      <c r="I652" s="2" t="str" cm="1">
        <f t="array" aca="1" ref="I652" ca="1">_xlfn.IFS(
    ABS(Fuel_prices[[#This Row],[%_change]])&gt;50,"SEVERE IMPACT",
    ABS(Fuel_prices[[#This Row],[%_change]])&gt;25,"HIGH IMPACT",
    ABS(Fuel_prices[[#This Row],[%_change]])&gt;5,"MID IMPACT",
    ABS(Fuel_prices[[#This Row],[%_change]])&lt;=5,"LITTLE IMPACT"
)</f>
        <v>LITTLE IMPACT</v>
      </c>
    </row>
    <row r="653" spans="1:9" x14ac:dyDescent="0.25">
      <c r="A653" s="4">
        <v>45383</v>
      </c>
      <c r="B653" s="6" t="str">
        <f>_xlfn.CONCAT("Q",CEILING(Fuel_prices[[#This Row],[Month]]/3,1))</f>
        <v>Q2</v>
      </c>
      <c r="C653" s="6">
        <f>MONTH(Fuel_prices[[#This Row],[Date]])</f>
        <v>4</v>
      </c>
      <c r="D653" s="6" t="str">
        <f>TEXT(Fuel_prices[[#This Row],[Date]],"mmm")</f>
        <v>Apr</v>
      </c>
      <c r="E653" s="6">
        <f>YEAR(Fuel_prices[[#This Row],[Date]])</f>
        <v>2024</v>
      </c>
      <c r="F653" s="5">
        <v>88.011333333330001</v>
      </c>
      <c r="G653" s="2">
        <f ca="1">ROUND(IFERROR((Fuel_prices[[#This Row],[Crude_Oil_Price]]-OFFSET(Fuel_prices[[#This Row],[Crude_Oil_Price]],-1,0)),0),2)</f>
        <v>4.47</v>
      </c>
      <c r="H653" s="2">
        <f ca="1">ROUND((IFERROR((Fuel_prices[[#This Row],[Crude_Oil_Price]]-OFFSET(Fuel_prices[[#This Row],[Crude_Oil_Price]],-1,0))/(OFFSET(Fuel_prices[[#This Row],[Crude_Oil_Price]],-1,0)),0))*100,2)</f>
        <v>5.35</v>
      </c>
      <c r="I653" s="2" t="str" cm="1">
        <f t="array" aca="1" ref="I653" ca="1">_xlfn.IFS(
    ABS(Fuel_prices[[#This Row],[%_change]])&gt;50,"SEVERE IMPACT",
    ABS(Fuel_prices[[#This Row],[%_change]])&gt;25,"HIGH IMPACT",
    ABS(Fuel_prices[[#This Row],[%_change]])&gt;5,"MID IMPACT",
    ABS(Fuel_prices[[#This Row],[%_change]])&lt;=5,"LITTLE IMPACT"
)</f>
        <v>MID IMPACT</v>
      </c>
    </row>
    <row r="654" spans="1:9" x14ac:dyDescent="0.25">
      <c r="A654" s="4">
        <v>45413</v>
      </c>
      <c r="B654" s="6" t="str">
        <f>_xlfn.CONCAT("Q",CEILING(Fuel_prices[[#This Row],[Month]]/3,1))</f>
        <v>Q2</v>
      </c>
      <c r="C654" s="6">
        <f>MONTH(Fuel_prices[[#This Row],[Date]])</f>
        <v>5</v>
      </c>
      <c r="D654" s="6" t="str">
        <f>TEXT(Fuel_prices[[#This Row],[Date]],"mmm")</f>
        <v>May</v>
      </c>
      <c r="E654" s="6">
        <f>YEAR(Fuel_prices[[#This Row],[Date]])</f>
        <v>2024</v>
      </c>
      <c r="F654" s="5">
        <v>81.444999999999993</v>
      </c>
      <c r="G654" s="2">
        <f ca="1">ROUND(IFERROR((Fuel_prices[[#This Row],[Crude_Oil_Price]]-OFFSET(Fuel_prices[[#This Row],[Crude_Oil_Price]],-1,0)),0),2)</f>
        <v>-6.57</v>
      </c>
      <c r="H654" s="2">
        <f ca="1">ROUND((IFERROR((Fuel_prices[[#This Row],[Crude_Oil_Price]]-OFFSET(Fuel_prices[[#This Row],[Crude_Oil_Price]],-1,0))/(OFFSET(Fuel_prices[[#This Row],[Crude_Oil_Price]],-1,0)),0))*100,2)</f>
        <v>-7.46</v>
      </c>
      <c r="I654" s="2" t="str" cm="1">
        <f t="array" aca="1" ref="I654" ca="1">_xlfn.IFS(
    ABS(Fuel_prices[[#This Row],[%_change]])&gt;50,"SEVERE IMPACT",
    ABS(Fuel_prices[[#This Row],[%_change]])&gt;25,"HIGH IMPACT",
    ABS(Fuel_prices[[#This Row],[%_change]])&gt;5,"MID IMPACT",
    ABS(Fuel_prices[[#This Row],[%_change]])&lt;=5,"LITTLE IMPACT"
)</f>
        <v>MID IMPACT</v>
      </c>
    </row>
    <row r="655" spans="1:9" x14ac:dyDescent="0.25">
      <c r="A655" s="4">
        <v>45444</v>
      </c>
      <c r="B655" s="6" t="str">
        <f>_xlfn.CONCAT("Q",CEILING(Fuel_prices[[#This Row],[Month]]/3,1))</f>
        <v>Q2</v>
      </c>
      <c r="C655" s="6">
        <f>MONTH(Fuel_prices[[#This Row],[Date]])</f>
        <v>6</v>
      </c>
      <c r="D655" s="6" t="str">
        <f>TEXT(Fuel_prices[[#This Row],[Date]],"mmm")</f>
        <v>Jun</v>
      </c>
      <c r="E655" s="6">
        <f>YEAR(Fuel_prices[[#This Row],[Date]])</f>
        <v>2024</v>
      </c>
      <c r="F655" s="5">
        <v>81.204999999999998</v>
      </c>
      <c r="G655" s="2">
        <f ca="1">ROUND(IFERROR((Fuel_prices[[#This Row],[Crude_Oil_Price]]-OFFSET(Fuel_prices[[#This Row],[Crude_Oil_Price]],-1,0)),0),2)</f>
        <v>-0.24</v>
      </c>
      <c r="H655" s="2">
        <f ca="1">ROUND((IFERROR((Fuel_prices[[#This Row],[Crude_Oil_Price]]-OFFSET(Fuel_prices[[#This Row],[Crude_Oil_Price]],-1,0))/(OFFSET(Fuel_prices[[#This Row],[Crude_Oil_Price]],-1,0)),0))*100,2)</f>
        <v>-0.28999999999999998</v>
      </c>
      <c r="I655" s="2" t="str" cm="1">
        <f t="array" aca="1" ref="I655" ca="1">_xlfn.IFS(
    ABS(Fuel_prices[[#This Row],[%_change]])&gt;50,"SEVERE IMPACT",
    ABS(Fuel_prices[[#This Row],[%_change]])&gt;25,"HIGH IMPACT",
    ABS(Fuel_prices[[#This Row],[%_change]])&gt;5,"MID IMPACT",
    ABS(Fuel_prices[[#This Row],[%_change]])&lt;=5,"LITTLE IMPACT"
)</f>
        <v>LITTLE IMPACT</v>
      </c>
    </row>
    <row r="656" spans="1:9" x14ac:dyDescent="0.25">
      <c r="A656" s="4">
        <v>45474</v>
      </c>
      <c r="B656" s="6" t="str">
        <f>_xlfn.CONCAT("Q",CEILING(Fuel_prices[[#This Row],[Month]]/3,1))</f>
        <v>Q3</v>
      </c>
      <c r="C656" s="6">
        <f>MONTH(Fuel_prices[[#This Row],[Date]])</f>
        <v>7</v>
      </c>
      <c r="D656" s="6" t="str">
        <f>TEXT(Fuel_prices[[#This Row],[Date]],"mmm")</f>
        <v>Jul</v>
      </c>
      <c r="E656" s="6">
        <f>YEAR(Fuel_prices[[#This Row],[Date]])</f>
        <v>2024</v>
      </c>
      <c r="F656" s="5">
        <v>83.258666666669995</v>
      </c>
      <c r="G656" s="2">
        <f ca="1">ROUND(IFERROR((Fuel_prices[[#This Row],[Crude_Oil_Price]]-OFFSET(Fuel_prices[[#This Row],[Crude_Oil_Price]],-1,0)),0),2)</f>
        <v>2.0499999999999998</v>
      </c>
      <c r="H656" s="2">
        <f ca="1">ROUND((IFERROR((Fuel_prices[[#This Row],[Crude_Oil_Price]]-OFFSET(Fuel_prices[[#This Row],[Crude_Oil_Price]],-1,0))/(OFFSET(Fuel_prices[[#This Row],[Crude_Oil_Price]],-1,0)),0))*100,2)</f>
        <v>2.5299999999999998</v>
      </c>
      <c r="I656" s="2" t="str" cm="1">
        <f t="array" aca="1" ref="I656" ca="1">_xlfn.IFS(
    ABS(Fuel_prices[[#This Row],[%_change]])&gt;50,"SEVERE IMPACT",
    ABS(Fuel_prices[[#This Row],[%_change]])&gt;25,"HIGH IMPACT",
    ABS(Fuel_prices[[#This Row],[%_change]])&gt;5,"MID IMPACT",
    ABS(Fuel_prices[[#This Row],[%_change]])&lt;=5,"LITTLE IMPACT"
)</f>
        <v>LITTLE IMPACT</v>
      </c>
    </row>
    <row r="657" spans="1:9" x14ac:dyDescent="0.25">
      <c r="A657" s="4">
        <v>45505</v>
      </c>
      <c r="B657" s="6" t="str">
        <f>_xlfn.CONCAT("Q",CEILING(Fuel_prices[[#This Row],[Month]]/3,1))</f>
        <v>Q3</v>
      </c>
      <c r="C657" s="6">
        <f>MONTH(Fuel_prices[[#This Row],[Date]])</f>
        <v>8</v>
      </c>
      <c r="D657" s="6" t="str">
        <f>TEXT(Fuel_prices[[#This Row],[Date]],"mmm")</f>
        <v>Aug</v>
      </c>
      <c r="E657" s="6">
        <f>YEAR(Fuel_prices[[#This Row],[Date]])</f>
        <v>2024</v>
      </c>
      <c r="F657" s="5">
        <v>78.120999999999995</v>
      </c>
      <c r="G657" s="2">
        <f ca="1">ROUND(IFERROR((Fuel_prices[[#This Row],[Crude_Oil_Price]]-OFFSET(Fuel_prices[[#This Row],[Crude_Oil_Price]],-1,0)),0),2)</f>
        <v>-5.14</v>
      </c>
      <c r="H657" s="2">
        <f ca="1">ROUND((IFERROR((Fuel_prices[[#This Row],[Crude_Oil_Price]]-OFFSET(Fuel_prices[[#This Row],[Crude_Oil_Price]],-1,0))/(OFFSET(Fuel_prices[[#This Row],[Crude_Oil_Price]],-1,0)),0))*100,2)</f>
        <v>-6.17</v>
      </c>
      <c r="I657" s="2" t="str" cm="1">
        <f t="array" aca="1" ref="I657" ca="1">_xlfn.IFS(
    ABS(Fuel_prices[[#This Row],[%_change]])&gt;50,"SEVERE IMPACT",
    ABS(Fuel_prices[[#This Row],[%_change]])&gt;25,"HIGH IMPACT",
    ABS(Fuel_prices[[#This Row],[%_change]])&gt;5,"MID IMPACT",
    ABS(Fuel_prices[[#This Row],[%_change]])&lt;=5,"LITTLE IMPACT"
)</f>
        <v>MID IMPACT</v>
      </c>
    </row>
    <row r="658" spans="1:9" x14ac:dyDescent="0.25">
      <c r="A658" s="4">
        <v>45536</v>
      </c>
      <c r="B658" s="6" t="str">
        <f>_xlfn.CONCAT("Q",CEILING(Fuel_prices[[#This Row],[Month]]/3,1))</f>
        <v>Q3</v>
      </c>
      <c r="C658" s="6">
        <f>MONTH(Fuel_prices[[#This Row],[Date]])</f>
        <v>9</v>
      </c>
      <c r="D658" s="6" t="str">
        <f>TEXT(Fuel_prices[[#This Row],[Date]],"mmm")</f>
        <v>Sep</v>
      </c>
      <c r="E658" s="6">
        <f>YEAR(Fuel_prices[[#This Row],[Date]])</f>
        <v>2024</v>
      </c>
      <c r="F658" s="5">
        <v>72.424333333329997</v>
      </c>
      <c r="G658" s="2">
        <f ca="1">ROUND(IFERROR((Fuel_prices[[#This Row],[Crude_Oil_Price]]-OFFSET(Fuel_prices[[#This Row],[Crude_Oil_Price]],-1,0)),0),2)</f>
        <v>-5.7</v>
      </c>
      <c r="H658" s="2">
        <f ca="1">ROUND((IFERROR((Fuel_prices[[#This Row],[Crude_Oil_Price]]-OFFSET(Fuel_prices[[#This Row],[Crude_Oil_Price]],-1,0))/(OFFSET(Fuel_prices[[#This Row],[Crude_Oil_Price]],-1,0)),0))*100,2)</f>
        <v>-7.29</v>
      </c>
      <c r="I658" s="2" t="str" cm="1">
        <f t="array" aca="1" ref="I658" ca="1">_xlfn.IFS(
    ABS(Fuel_prices[[#This Row],[%_change]])&gt;50,"SEVERE IMPACT",
    ABS(Fuel_prices[[#This Row],[%_change]])&gt;25,"HIGH IMPACT",
    ABS(Fuel_prices[[#This Row],[%_change]])&gt;5,"MID IMPACT",
    ABS(Fuel_prices[[#This Row],[%_change]])&lt;=5,"LITTLE IMPACT"
)</f>
        <v>MID IMPACT</v>
      </c>
    </row>
    <row r="659" spans="1:9" x14ac:dyDescent="0.25">
      <c r="A659" s="4">
        <v>45566</v>
      </c>
      <c r="B659" s="6" t="str">
        <f>_xlfn.CONCAT("Q",CEILING(Fuel_prices[[#This Row],[Month]]/3,1))</f>
        <v>Q4</v>
      </c>
      <c r="C659" s="6">
        <f>MONTH(Fuel_prices[[#This Row],[Date]])</f>
        <v>10</v>
      </c>
      <c r="D659" s="6" t="str">
        <f>TEXT(Fuel_prices[[#This Row],[Date]],"mmm")</f>
        <v>Oct</v>
      </c>
      <c r="E659" s="6">
        <f>YEAR(Fuel_prices[[#This Row],[Date]])</f>
        <v>2024</v>
      </c>
      <c r="F659" s="5">
        <v>73.970666666669999</v>
      </c>
      <c r="G659" s="2">
        <f ca="1">ROUND(IFERROR((Fuel_prices[[#This Row],[Crude_Oil_Price]]-OFFSET(Fuel_prices[[#This Row],[Crude_Oil_Price]],-1,0)),0),2)</f>
        <v>1.55</v>
      </c>
      <c r="H659" s="2">
        <f ca="1">ROUND((IFERROR((Fuel_prices[[#This Row],[Crude_Oil_Price]]-OFFSET(Fuel_prices[[#This Row],[Crude_Oil_Price]],-1,0))/(OFFSET(Fuel_prices[[#This Row],[Crude_Oil_Price]],-1,0)),0))*100,2)</f>
        <v>2.14</v>
      </c>
      <c r="I659" s="2" t="str" cm="1">
        <f t="array" aca="1" ref="I659" ca="1">_xlfn.IFS(
    ABS(Fuel_prices[[#This Row],[%_change]])&gt;50,"SEVERE IMPACT",
    ABS(Fuel_prices[[#This Row],[%_change]])&gt;25,"HIGH IMPACT",
    ABS(Fuel_prices[[#This Row],[%_change]])&gt;5,"MID IMPACT",
    ABS(Fuel_prices[[#This Row],[%_change]])&lt;=5,"LITTLE IMPACT"
)</f>
        <v>LITTLE IMPACT</v>
      </c>
    </row>
    <row r="660" spans="1:9" x14ac:dyDescent="0.25">
      <c r="A660" s="4">
        <v>45597</v>
      </c>
      <c r="B660" s="6" t="str">
        <f>_xlfn.CONCAT("Q",CEILING(Fuel_prices[[#This Row],[Month]]/3,1))</f>
        <v>Q4</v>
      </c>
      <c r="C660" s="6">
        <f>MONTH(Fuel_prices[[#This Row],[Date]])</f>
        <v>11</v>
      </c>
      <c r="D660" s="6" t="str">
        <f>TEXT(Fuel_prices[[#This Row],[Date]],"mmm")</f>
        <v>Nov</v>
      </c>
      <c r="E660" s="6">
        <f>YEAR(Fuel_prices[[#This Row],[Date]])</f>
        <v>2024</v>
      </c>
      <c r="F660" s="5">
        <v>72.291666666669997</v>
      </c>
      <c r="G660" s="2">
        <f ca="1">ROUND(IFERROR((Fuel_prices[[#This Row],[Crude_Oil_Price]]-OFFSET(Fuel_prices[[#This Row],[Crude_Oil_Price]],-1,0)),0),2)</f>
        <v>-1.68</v>
      </c>
      <c r="H660" s="2">
        <f ca="1">ROUND((IFERROR((Fuel_prices[[#This Row],[Crude_Oil_Price]]-OFFSET(Fuel_prices[[#This Row],[Crude_Oil_Price]],-1,0))/(OFFSET(Fuel_prices[[#This Row],[Crude_Oil_Price]],-1,0)),0))*100,2)</f>
        <v>-2.27</v>
      </c>
      <c r="I660" s="2" t="str" cm="1">
        <f t="array" aca="1" ref="I660" ca="1">_xlfn.IFS(
    ABS(Fuel_prices[[#This Row],[%_change]])&gt;50,"SEVERE IMPACT",
    ABS(Fuel_prices[[#This Row],[%_change]])&gt;25,"HIGH IMPACT",
    ABS(Fuel_prices[[#This Row],[%_change]])&gt;5,"MID IMPACT",
    ABS(Fuel_prices[[#This Row],[%_change]])&lt;=5,"LITTLE IMPACT"
)</f>
        <v>LITTLE IMPACT</v>
      </c>
    </row>
    <row r="661" spans="1:9" x14ac:dyDescent="0.25">
      <c r="A661" s="4">
        <v>45627</v>
      </c>
      <c r="B661" s="6" t="str">
        <f>_xlfn.CONCAT("Q",CEILING(Fuel_prices[[#This Row],[Month]]/3,1))</f>
        <v>Q4</v>
      </c>
      <c r="C661" s="6">
        <f>MONTH(Fuel_prices[[#This Row],[Date]])</f>
        <v>12</v>
      </c>
      <c r="D661" s="6" t="str">
        <f>TEXT(Fuel_prices[[#This Row],[Date]],"mmm")</f>
        <v>Dec</v>
      </c>
      <c r="E661" s="6">
        <f>YEAR(Fuel_prices[[#This Row],[Date]])</f>
        <v>2024</v>
      </c>
      <c r="F661" s="5">
        <v>72.311000000000007</v>
      </c>
      <c r="G661" s="2">
        <f ca="1">ROUND(IFERROR((Fuel_prices[[#This Row],[Crude_Oil_Price]]-OFFSET(Fuel_prices[[#This Row],[Crude_Oil_Price]],-1,0)),0),2)</f>
        <v>0.02</v>
      </c>
      <c r="H661" s="2">
        <f ca="1">ROUND((IFERROR((Fuel_prices[[#This Row],[Crude_Oil_Price]]-OFFSET(Fuel_prices[[#This Row],[Crude_Oil_Price]],-1,0))/(OFFSET(Fuel_prices[[#This Row],[Crude_Oil_Price]],-1,0)),0))*100,2)</f>
        <v>0.03</v>
      </c>
      <c r="I661" s="2" t="str" cm="1">
        <f t="array" aca="1" ref="I661" ca="1">_xlfn.IFS(
    ABS(Fuel_prices[[#This Row],[%_change]])&gt;50,"SEVERE IMPACT",
    ABS(Fuel_prices[[#This Row],[%_change]])&gt;25,"HIGH IMPACT",
    ABS(Fuel_prices[[#This Row],[%_change]])&gt;5,"MID IMPACT",
    ABS(Fuel_prices[[#This Row],[%_change]])&lt;=5,"LITTLE IMPACT"
)</f>
        <v>LITTLE IMPACT</v>
      </c>
    </row>
    <row r="662" spans="1:9" x14ac:dyDescent="0.25">
      <c r="A662" s="4">
        <v>45658</v>
      </c>
      <c r="B662" s="6" t="str">
        <f>_xlfn.CONCAT("Q",CEILING(Fuel_prices[[#This Row],[Month]]/3,1))</f>
        <v>Q1</v>
      </c>
      <c r="C662" s="6">
        <f>MONTH(Fuel_prices[[#This Row],[Date]])</f>
        <v>1</v>
      </c>
      <c r="D662" s="6" t="str">
        <f>TEXT(Fuel_prices[[#This Row],[Date]],"mmm")</f>
        <v>Jan</v>
      </c>
      <c r="E662" s="6">
        <f>YEAR(Fuel_prices[[#This Row],[Date]])</f>
        <v>2025</v>
      </c>
      <c r="F662" s="5">
        <v>67.650000000000006</v>
      </c>
      <c r="G662" s="2">
        <f ca="1">ROUND(IFERROR((Fuel_prices[[#This Row],[Crude_Oil_Price]]-OFFSET(Fuel_prices[[#This Row],[Crude_Oil_Price]],-1,0)),0),2)</f>
        <v>-4.66</v>
      </c>
      <c r="H662" s="2">
        <f ca="1">ROUND((IFERROR((Fuel_prices[[#This Row],[Crude_Oil_Price]]-OFFSET(Fuel_prices[[#This Row],[Crude_Oil_Price]],-1,0))/(OFFSET(Fuel_prices[[#This Row],[Crude_Oil_Price]],-1,0)),0))*100,2)</f>
        <v>-6.45</v>
      </c>
      <c r="I662" s="2" t="str" cm="1">
        <f t="array" aca="1" ref="I662" ca="1">_xlfn.IFS(
    ABS(Fuel_prices[[#This Row],[%_change]])&gt;50,"SEVERE IMPACT",
    ABS(Fuel_prices[[#This Row],[%_change]])&gt;25,"HIGH IMPACT",
    ABS(Fuel_prices[[#This Row],[%_change]])&gt;5,"MID IMPACT",
    ABS(Fuel_prices[[#This Row],[%_change]])&lt;=5,"LITTLE IMPACT"
)</f>
        <v>MID IMPACT</v>
      </c>
    </row>
    <row r="663" spans="1:9" x14ac:dyDescent="0.25">
      <c r="A663" s="4">
        <v>45689</v>
      </c>
      <c r="B663" s="6" t="str">
        <f>_xlfn.CONCAT("Q",CEILING(Fuel_prices[[#This Row],[Month]]/3,1))</f>
        <v>Q1</v>
      </c>
      <c r="C663" s="6">
        <f>MONTH(Fuel_prices[[#This Row],[Date]])</f>
        <v>2</v>
      </c>
      <c r="D663" s="6" t="str">
        <f>TEXT(Fuel_prices[[#This Row],[Date]],"mmm")</f>
        <v>Feb</v>
      </c>
      <c r="E663" s="6">
        <f>YEAR(Fuel_prices[[#This Row],[Date]])</f>
        <v>2025</v>
      </c>
      <c r="F663" s="5">
        <v>66.010000000000005</v>
      </c>
      <c r="G663" s="2">
        <f ca="1">ROUND(IFERROR((Fuel_prices[[#This Row],[Crude_Oil_Price]]-OFFSET(Fuel_prices[[#This Row],[Crude_Oil_Price]],-1,0)),0),2)</f>
        <v>-1.64</v>
      </c>
      <c r="H663" s="2">
        <f ca="1">ROUND((IFERROR((Fuel_prices[[#This Row],[Crude_Oil_Price]]-OFFSET(Fuel_prices[[#This Row],[Crude_Oil_Price]],-1,0))/(OFFSET(Fuel_prices[[#This Row],[Crude_Oil_Price]],-1,0)),0))*100,2)</f>
        <v>-2.42</v>
      </c>
      <c r="I663" s="2" t="str" cm="1">
        <f t="array" aca="1" ref="I663" ca="1">_xlfn.IFS(
    ABS(Fuel_prices[[#This Row],[%_change]])&gt;50,"SEVERE IMPACT",
    ABS(Fuel_prices[[#This Row],[%_change]])&gt;25,"HIGH IMPACT",
    ABS(Fuel_prices[[#This Row],[%_change]])&gt;5,"MID IMPACT",
    ABS(Fuel_prices[[#This Row],[%_change]])&lt;=5,"LITTLE IMPACT"
)</f>
        <v>LITTLE IMPACT</v>
      </c>
    </row>
    <row r="664" spans="1:9" x14ac:dyDescent="0.25">
      <c r="A664" s="4">
        <v>45717</v>
      </c>
      <c r="B664" s="6" t="str">
        <f>_xlfn.CONCAT("Q",CEILING(Fuel_prices[[#This Row],[Month]]/3,1))</f>
        <v>Q1</v>
      </c>
      <c r="C664" s="6">
        <f>MONTH(Fuel_prices[[#This Row],[Date]])</f>
        <v>3</v>
      </c>
      <c r="D664" s="6" t="str">
        <f>TEXT(Fuel_prices[[#This Row],[Date]],"mmm")</f>
        <v>Mar</v>
      </c>
      <c r="E664" s="6">
        <f>YEAR(Fuel_prices[[#This Row],[Date]])</f>
        <v>2025</v>
      </c>
      <c r="F664" s="5">
        <v>68.2</v>
      </c>
      <c r="G664" s="2">
        <f ca="1">ROUND(IFERROR((Fuel_prices[[#This Row],[Crude_Oil_Price]]-OFFSET(Fuel_prices[[#This Row],[Crude_Oil_Price]],-1,0)),0),2)</f>
        <v>2.19</v>
      </c>
      <c r="H664" s="2">
        <f ca="1">ROUND((IFERROR((Fuel_prices[[#This Row],[Crude_Oil_Price]]-OFFSET(Fuel_prices[[#This Row],[Crude_Oil_Price]],-1,0))/(OFFSET(Fuel_prices[[#This Row],[Crude_Oil_Price]],-1,0)),0))*100,2)</f>
        <v>3.32</v>
      </c>
      <c r="I664" s="2" t="str" cm="1">
        <f t="array" aca="1" ref="I664" ca="1">_xlfn.IFS(
    ABS(Fuel_prices[[#This Row],[%_change]])&gt;50,"SEVERE IMPACT",
    ABS(Fuel_prices[[#This Row],[%_change]])&gt;25,"HIGH IMPACT",
    ABS(Fuel_prices[[#This Row],[%_change]])&gt;5,"MID IMPACT",
    ABS(Fuel_prices[[#This Row],[%_change]])&lt;=5,"LITTLE IMPACT"
)</f>
        <v>LITTLE IMPACT</v>
      </c>
    </row>
    <row r="665" spans="1:9" x14ac:dyDescent="0.25">
      <c r="A665" s="4">
        <v>45748</v>
      </c>
      <c r="B665" s="6" t="str">
        <f>_xlfn.CONCAT("Q",CEILING(Fuel_prices[[#This Row],[Month]]/3,1))</f>
        <v>Q2</v>
      </c>
      <c r="C665" s="6">
        <f>MONTH(Fuel_prices[[#This Row],[Date]])</f>
        <v>4</v>
      </c>
      <c r="D665" s="6" t="str">
        <f>TEXT(Fuel_prices[[#This Row],[Date]],"mmm")</f>
        <v>Apr</v>
      </c>
      <c r="E665" s="6">
        <f>YEAR(Fuel_prices[[#This Row],[Date]])</f>
        <v>2025</v>
      </c>
      <c r="F665" s="5">
        <v>62.97</v>
      </c>
      <c r="G665" s="2">
        <f ca="1">ROUND(IFERROR((Fuel_prices[[#This Row],[Crude_Oil_Price]]-OFFSET(Fuel_prices[[#This Row],[Crude_Oil_Price]],-1,0)),0),2)</f>
        <v>-5.23</v>
      </c>
      <c r="H665" s="2">
        <f ca="1">ROUND((IFERROR((Fuel_prices[[#This Row],[Crude_Oil_Price]]-OFFSET(Fuel_prices[[#This Row],[Crude_Oil_Price]],-1,0))/(OFFSET(Fuel_prices[[#This Row],[Crude_Oil_Price]],-1,0)),0))*100,2)</f>
        <v>-7.67</v>
      </c>
      <c r="I665" s="2" t="str" cm="1">
        <f t="array" aca="1" ref="I665" ca="1">_xlfn.IFS(
    ABS(Fuel_prices[[#This Row],[%_change]])&gt;50,"SEVERE IMPACT",
    ABS(Fuel_prices[[#This Row],[%_change]])&gt;25,"HIGH IMPACT",
    ABS(Fuel_prices[[#This Row],[%_change]])&gt;5,"MID IMPACT",
    ABS(Fuel_prices[[#This Row],[%_change]])&lt;=5,"LITTLE IMPACT"
)</f>
        <v>MID IMPACT</v>
      </c>
    </row>
    <row r="666" spans="1:9" x14ac:dyDescent="0.25">
      <c r="A666" s="4">
        <v>45778</v>
      </c>
      <c r="B666" s="6" t="str">
        <f>_xlfn.CONCAT("Q",CEILING(Fuel_prices[[#This Row],[Month]]/3,1))</f>
        <v>Q2</v>
      </c>
      <c r="C666" s="6">
        <f>MONTH(Fuel_prices[[#This Row],[Date]])</f>
        <v>5</v>
      </c>
      <c r="D666" s="6" t="str">
        <f>TEXT(Fuel_prices[[#This Row],[Date]],"mmm")</f>
        <v>May</v>
      </c>
      <c r="E666" s="6">
        <f>YEAR(Fuel_prices[[#This Row],[Date]])</f>
        <v>2025</v>
      </c>
      <c r="F666" s="5">
        <v>60.85</v>
      </c>
      <c r="G666" s="2">
        <f ca="1">ROUND(IFERROR((Fuel_prices[[#This Row],[Crude_Oil_Price]]-OFFSET(Fuel_prices[[#This Row],[Crude_Oil_Price]],-1,0)),0),2)</f>
        <v>-2.12</v>
      </c>
      <c r="H666" s="2">
        <f ca="1">ROUND((IFERROR((Fuel_prices[[#This Row],[Crude_Oil_Price]]-OFFSET(Fuel_prices[[#This Row],[Crude_Oil_Price]],-1,0))/(OFFSET(Fuel_prices[[#This Row],[Crude_Oil_Price]],-1,0)),0))*100,2)</f>
        <v>-3.37</v>
      </c>
      <c r="I666" s="2" t="str" cm="1">
        <f t="array" aca="1" ref="I666" ca="1">_xlfn.IFS(
    ABS(Fuel_prices[[#This Row],[%_change]])&gt;50,"SEVERE IMPACT",
    ABS(Fuel_prices[[#This Row],[%_change]])&gt;25,"HIGH IMPACT",
    ABS(Fuel_prices[[#This Row],[%_change]])&gt;5,"MID IMPACT",
    ABS(Fuel_prices[[#This Row],[%_change]])&lt;=5,"LITTLE IMPACT"
)</f>
        <v>LITTLE IMPACT</v>
      </c>
    </row>
    <row r="667" spans="1:9" x14ac:dyDescent="0.25">
      <c r="A667" s="4">
        <v>45809</v>
      </c>
      <c r="B667" s="6" t="str">
        <f>_xlfn.CONCAT("Q",CEILING(Fuel_prices[[#This Row],[Month]]/3,1))</f>
        <v>Q2</v>
      </c>
      <c r="C667" s="6">
        <f>MONTH(Fuel_prices[[#This Row],[Date]])</f>
        <v>6</v>
      </c>
      <c r="D667" s="6" t="str">
        <f>TEXT(Fuel_prices[[#This Row],[Date]],"mmm")</f>
        <v>Jun</v>
      </c>
      <c r="E667" s="6">
        <f>YEAR(Fuel_prices[[#This Row],[Date]])</f>
        <v>2025</v>
      </c>
      <c r="F667" s="5">
        <v>67.86</v>
      </c>
      <c r="G667" s="2">
        <f ca="1">ROUND(IFERROR((Fuel_prices[[#This Row],[Crude_Oil_Price]]-OFFSET(Fuel_prices[[#This Row],[Crude_Oil_Price]],-1,0)),0),2)</f>
        <v>7.01</v>
      </c>
      <c r="H667" s="2">
        <f ca="1">ROUND((IFERROR((Fuel_prices[[#This Row],[Crude_Oil_Price]]-OFFSET(Fuel_prices[[#This Row],[Crude_Oil_Price]],-1,0))/(OFFSET(Fuel_prices[[#This Row],[Crude_Oil_Price]],-1,0)),0))*100,2)</f>
        <v>11.52</v>
      </c>
      <c r="I667" s="2" t="str" cm="1">
        <f t="array" aca="1" ref="I667" ca="1">_xlfn.IFS(
    ABS(Fuel_prices[[#This Row],[%_change]])&gt;50,"SEVERE IMPACT",
    ABS(Fuel_prices[[#This Row],[%_change]])&gt;25,"HIGH IMPACT",
    ABS(Fuel_prices[[#This Row],[%_change]])&gt;5,"MID IMPACT",
    ABS(Fuel_prices[[#This Row],[%_change]])&lt;=5,"LITTLE IMPACT"
)</f>
        <v>MID IMPACT</v>
      </c>
    </row>
    <row r="668" spans="1:9" x14ac:dyDescent="0.25">
      <c r="A668" s="4">
        <v>45839</v>
      </c>
      <c r="B668" s="6" t="str">
        <f>_xlfn.CONCAT("Q",CEILING(Fuel_prices[[#This Row],[Month]]/3,1))</f>
        <v>Q3</v>
      </c>
      <c r="C668" s="6">
        <f>MONTH(Fuel_prices[[#This Row],[Date]])</f>
        <v>7</v>
      </c>
      <c r="D668" s="6" t="str">
        <f>TEXT(Fuel_prices[[#This Row],[Date]],"mmm")</f>
        <v>Jul</v>
      </c>
      <c r="E668" s="6">
        <f>YEAR(Fuel_prices[[#This Row],[Date]])</f>
        <v>2025</v>
      </c>
      <c r="F668" s="5">
        <v>66.97</v>
      </c>
      <c r="G668" s="2">
        <f ca="1">ROUND(IFERROR((Fuel_prices[[#This Row],[Crude_Oil_Price]]-OFFSET(Fuel_prices[[#This Row],[Crude_Oil_Price]],-1,0)),0),2)</f>
        <v>-0.89</v>
      </c>
      <c r="H668" s="2">
        <f ca="1">ROUND((IFERROR((Fuel_prices[[#This Row],[Crude_Oil_Price]]-OFFSET(Fuel_prices[[#This Row],[Crude_Oil_Price]],-1,0))/(OFFSET(Fuel_prices[[#This Row],[Crude_Oil_Price]],-1,0)),0))*100,2)</f>
        <v>-1.31</v>
      </c>
      <c r="I668" s="2" t="str" cm="1">
        <f t="array" aca="1" ref="I668" ca="1">_xlfn.IFS(
    ABS(Fuel_prices[[#This Row],[%_change]])&gt;50,"SEVERE IMPACT",
    ABS(Fuel_prices[[#This Row],[%_change]])&gt;25,"HIGH IMPACT",
    ABS(Fuel_prices[[#This Row],[%_change]])&gt;5,"MID IMPACT",
    ABS(Fuel_prices[[#This Row],[%_change]])&lt;=5,"LITTLE IMPACT"
)</f>
        <v>LITTLE IMPACT</v>
      </c>
    </row>
    <row r="669" spans="1:9" x14ac:dyDescent="0.25">
      <c r="A669" s="4">
        <v>45870</v>
      </c>
      <c r="B669" s="6" t="str">
        <f>_xlfn.CONCAT("Q",CEILING(Fuel_prices[[#This Row],[Month]]/3,1))</f>
        <v>Q3</v>
      </c>
      <c r="C669" s="6">
        <f>MONTH(Fuel_prices[[#This Row],[Date]])</f>
        <v>8</v>
      </c>
      <c r="D669" s="6" t="str">
        <f>TEXT(Fuel_prices[[#This Row],[Date]],"mmm")</f>
        <v>Aug</v>
      </c>
      <c r="E669" s="6">
        <f>YEAR(Fuel_prices[[#This Row],[Date]])</f>
        <v>2025</v>
      </c>
      <c r="F669" s="5">
        <v>64.209999999999994</v>
      </c>
      <c r="G669" s="2">
        <f ca="1">ROUND(IFERROR((Fuel_prices[[#This Row],[Crude_Oil_Price]]-OFFSET(Fuel_prices[[#This Row],[Crude_Oil_Price]],-1,0)),0),2)</f>
        <v>-2.76</v>
      </c>
      <c r="H669" s="2">
        <f ca="1">ROUND((IFERROR((Fuel_prices[[#This Row],[Crude_Oil_Price]]-OFFSET(Fuel_prices[[#This Row],[Crude_Oil_Price]],-1,0))/(OFFSET(Fuel_prices[[#This Row],[Crude_Oil_Price]],-1,0)),0))*100,2)</f>
        <v>-4.12</v>
      </c>
      <c r="I669" s="2" t="str" cm="1">
        <f t="array" aca="1" ref="I669" ca="1">_xlfn.IFS(
    ABS(Fuel_prices[[#This Row],[%_change]])&gt;50,"SEVERE IMPACT",
    ABS(Fuel_prices[[#This Row],[%_change]])&gt;25,"HIGH IMPACT",
    ABS(Fuel_prices[[#This Row],[%_change]])&gt;5,"MID IMPACT",
    ABS(Fuel_prices[[#This Row],[%_change]])&lt;=5,"LITTLE IMPACT"
)</f>
        <v>LITTLE IMPACT</v>
      </c>
    </row>
    <row r="670" spans="1:9" x14ac:dyDescent="0.25">
      <c r="A670" s="4">
        <v>45901</v>
      </c>
      <c r="B670" s="6" t="str">
        <f>_xlfn.CONCAT("Q",CEILING(Fuel_prices[[#This Row],[Month]]/3,1))</f>
        <v>Q3</v>
      </c>
      <c r="C670" s="6">
        <f>MONTH(Fuel_prices[[#This Row],[Date]])</f>
        <v>9</v>
      </c>
      <c r="D670" s="6" t="str">
        <f>TEXT(Fuel_prices[[#This Row],[Date]],"mmm")</f>
        <v>Sep</v>
      </c>
      <c r="E670" s="6">
        <f>YEAR(Fuel_prices[[#This Row],[Date]])</f>
        <v>2025</v>
      </c>
      <c r="F670" s="5">
        <v>63.51</v>
      </c>
      <c r="G670" s="2">
        <f ca="1">ROUND(IFERROR((Fuel_prices[[#This Row],[Crude_Oil_Price]]-OFFSET(Fuel_prices[[#This Row],[Crude_Oil_Price]],-1,0)),0),2)</f>
        <v>-0.7</v>
      </c>
      <c r="H670" s="2">
        <f ca="1">ROUND((IFERROR((Fuel_prices[[#This Row],[Crude_Oil_Price]]-OFFSET(Fuel_prices[[#This Row],[Crude_Oil_Price]],-1,0))/(OFFSET(Fuel_prices[[#This Row],[Crude_Oil_Price]],-1,0)),0))*100,2)</f>
        <v>-1.0900000000000001</v>
      </c>
      <c r="I670" s="2" t="str" cm="1">
        <f t="array" aca="1" ref="I670" ca="1">_xlfn.IFS(
    ABS(Fuel_prices[[#This Row],[%_change]])&gt;50,"SEVERE IMPACT",
    ABS(Fuel_prices[[#This Row],[%_change]])&gt;25,"HIGH IMPACT",
    ABS(Fuel_prices[[#This Row],[%_change]])&gt;5,"MID IMPACT",
    ABS(Fuel_prices[[#This Row],[%_change]])&lt;=5,"LITTLE IMPACT"
)</f>
        <v>LITTLE IMPACT</v>
      </c>
    </row>
    <row r="671" spans="1:9" x14ac:dyDescent="0.25">
      <c r="A671" s="4">
        <v>45931</v>
      </c>
      <c r="B671" s="6" t="str">
        <f>_xlfn.CONCAT("Q",CEILING(Fuel_prices[[#This Row],[Month]]/3,1))</f>
        <v>Q4</v>
      </c>
      <c r="C671" s="6">
        <f>MONTH(Fuel_prices[[#This Row],[Date]])</f>
        <v>10</v>
      </c>
      <c r="D671" s="6" t="str">
        <f>TEXT(Fuel_prices[[#This Row],[Date]],"mmm")</f>
        <v>Oct</v>
      </c>
      <c r="E671" s="6">
        <f>YEAR(Fuel_prices[[#This Row],[Date]])</f>
        <v>2025</v>
      </c>
      <c r="F671" s="5">
        <v>60.05</v>
      </c>
      <c r="G671" s="2">
        <f ca="1">ROUND(IFERROR((Fuel_prices[[#This Row],[Crude_Oil_Price]]-OFFSET(Fuel_prices[[#This Row],[Crude_Oil_Price]],-1,0)),0),2)</f>
        <v>-3.46</v>
      </c>
      <c r="H671" s="2">
        <f ca="1">ROUND((IFERROR((Fuel_prices[[#This Row],[Crude_Oil_Price]]-OFFSET(Fuel_prices[[#This Row],[Crude_Oil_Price]],-1,0))/(OFFSET(Fuel_prices[[#This Row],[Crude_Oil_Price]],-1,0)),0))*100,2)</f>
        <v>-5.45</v>
      </c>
      <c r="I671" s="2" t="str" cm="1">
        <f t="array" aca="1" ref="I671" ca="1">_xlfn.IFS(
    ABS(Fuel_prices[[#This Row],[%_change]])&gt;50,"SEVERE IMPACT",
    ABS(Fuel_prices[[#This Row],[%_change]])&gt;25,"HIGH IMPACT",
    ABS(Fuel_prices[[#This Row],[%_change]])&gt;5,"MID IMPACT",
    ABS(Fuel_prices[[#This Row],[%_change]])&lt;=5,"LITTLE IMPACT"
)</f>
        <v>MID IMPACT</v>
      </c>
    </row>
    <row r="672" spans="1:9" x14ac:dyDescent="0.25">
      <c r="A672" s="4">
        <v>45962</v>
      </c>
      <c r="B672" s="6" t="str">
        <f>_xlfn.CONCAT("Q",CEILING(Fuel_prices[[#This Row],[Month]]/3,1))</f>
        <v>Q4</v>
      </c>
      <c r="C672" s="6">
        <f>MONTH(Fuel_prices[[#This Row],[Date]])</f>
        <v>11</v>
      </c>
      <c r="D672" s="6" t="str">
        <f>TEXT(Fuel_prices[[#This Row],[Date]],"mmm")</f>
        <v>Nov</v>
      </c>
      <c r="E672" s="6">
        <f>YEAR(Fuel_prices[[#This Row],[Date]])</f>
        <v>2025</v>
      </c>
      <c r="F672" s="5">
        <v>59.46</v>
      </c>
      <c r="G672" s="2">
        <f ca="1">ROUND(IFERROR((Fuel_prices[[#This Row],[Crude_Oil_Price]]-OFFSET(Fuel_prices[[#This Row],[Crude_Oil_Price]],-1,0)),0),2)</f>
        <v>-0.59</v>
      </c>
      <c r="H672" s="2">
        <f ca="1">ROUND((IFERROR((Fuel_prices[[#This Row],[Crude_Oil_Price]]-OFFSET(Fuel_prices[[#This Row],[Crude_Oil_Price]],-1,0))/(OFFSET(Fuel_prices[[#This Row],[Crude_Oil_Price]],-1,0)),0))*100,2)</f>
        <v>-0.98</v>
      </c>
      <c r="I672" s="2" t="str" cm="1">
        <f t="array" aca="1" ref="I672" ca="1">_xlfn.IFS(
    ABS(Fuel_prices[[#This Row],[%_change]])&gt;50,"SEVERE IMPACT",
    ABS(Fuel_prices[[#This Row],[%_change]])&gt;25,"HIGH IMPACT",
    ABS(Fuel_prices[[#This Row],[%_change]])&gt;5,"MID IMPACT",
    ABS(Fuel_prices[[#This Row],[%_change]])&lt;=5,"LITTLE IMPACT"
)</f>
        <v>LITTLE IMPACT</v>
      </c>
    </row>
    <row r="673" spans="1:9" x14ac:dyDescent="0.25">
      <c r="A673" s="4">
        <v>45992</v>
      </c>
      <c r="B673" s="6" t="str">
        <f>_xlfn.CONCAT("Q",CEILING(Fuel_prices[[#This Row],[Month]]/3,1))</f>
        <v>Q4</v>
      </c>
      <c r="C673" s="6">
        <f>MONTH(Fuel_prices[[#This Row],[Date]])</f>
        <v>12</v>
      </c>
      <c r="D673" s="6" t="str">
        <f>TEXT(Fuel_prices[[#This Row],[Date]],"mmm")</f>
        <v>Dec</v>
      </c>
      <c r="E673" s="6">
        <f>YEAR(Fuel_prices[[#This Row],[Date]])</f>
        <v>2025</v>
      </c>
      <c r="F673" s="5">
        <v>57.95</v>
      </c>
      <c r="G673" s="2">
        <f ca="1">ROUND(IFERROR((Fuel_prices[[#This Row],[Crude_Oil_Price]]-OFFSET(Fuel_prices[[#This Row],[Crude_Oil_Price]],-1,0)),0),2)</f>
        <v>-1.51</v>
      </c>
      <c r="H673" s="2">
        <f ca="1">ROUND((IFERROR((Fuel_prices[[#This Row],[Crude_Oil_Price]]-OFFSET(Fuel_prices[[#This Row],[Crude_Oil_Price]],-1,0))/(OFFSET(Fuel_prices[[#This Row],[Crude_Oil_Price]],-1,0)),0))*100,2)</f>
        <v>-2.54</v>
      </c>
      <c r="I673" s="2" t="str" cm="1">
        <f t="array" aca="1" ref="I673" ca="1">_xlfn.IFS(
    ABS(Fuel_prices[[#This Row],[%_change]])&gt;50,"SEVERE IMPACT",
    ABS(Fuel_prices[[#This Row],[%_change]])&gt;25,"HIGH IMPACT",
    ABS(Fuel_prices[[#This Row],[%_change]])&gt;5,"MID IMPACT",
    ABS(Fuel_prices[[#This Row],[%_change]])&lt;=5,"LITTLE IMPACT"
)</f>
        <v>LITTLE IMPACT</v>
      </c>
    </row>
    <row r="674" spans="1:9" x14ac:dyDescent="0.25">
      <c r="A674" s="4">
        <v>46023</v>
      </c>
      <c r="B674" s="6" t="str">
        <f>_xlfn.CONCAT("Q",CEILING(Fuel_prices[[#This Row],[Month]]/3,1))</f>
        <v>Q1</v>
      </c>
      <c r="C674" s="6">
        <f>MONTH(Fuel_prices[[#This Row],[Date]])</f>
        <v>1</v>
      </c>
      <c r="D674" s="6" t="str">
        <f>TEXT(Fuel_prices[[#This Row],[Date]],"mmm")</f>
        <v>Jan</v>
      </c>
      <c r="E674" s="6">
        <f>YEAR(Fuel_prices[[#This Row],[Date]])</f>
        <v>2026</v>
      </c>
      <c r="F674" s="5">
        <v>60.04</v>
      </c>
      <c r="G674" s="2">
        <f ca="1">ROUND(IFERROR((Fuel_prices[[#This Row],[Crude_Oil_Price]]-OFFSET(Fuel_prices[[#This Row],[Crude_Oil_Price]],-1,0)),0),2)</f>
        <v>2.09</v>
      </c>
      <c r="H674" s="2">
        <f ca="1">ROUND((IFERROR((Fuel_prices[[#This Row],[Crude_Oil_Price]]-OFFSET(Fuel_prices[[#This Row],[Crude_Oil_Price]],-1,0))/(OFFSET(Fuel_prices[[#This Row],[Crude_Oil_Price]],-1,0)),0))*100,2)</f>
        <v>3.61</v>
      </c>
      <c r="I674" s="2" t="str" cm="1">
        <f t="array" aca="1" ref="I674" ca="1">_xlfn.IFS(
    ABS(Fuel_prices[[#This Row],[%_change]])&gt;50,"SEVERE IMPACT",
    ABS(Fuel_prices[[#This Row],[%_change]])&gt;25,"HIGH IMPACT",
    ABS(Fuel_prices[[#This Row],[%_change]])&gt;5,"MID IMPACT",
    ABS(Fuel_prices[[#This Row],[%_change]])&lt;=5,"LITTLE IMPACT"
)</f>
        <v>LITTLE IMPACT</v>
      </c>
    </row>
    <row r="675" spans="1:9" x14ac:dyDescent="0.25">
      <c r="A675" s="4">
        <v>46054</v>
      </c>
      <c r="B675" s="6" t="str">
        <f>_xlfn.CONCAT("Q",CEILING(Fuel_prices[[#This Row],[Month]]/3,1))</f>
        <v>Q1</v>
      </c>
      <c r="C675" s="6">
        <f>MONTH(Fuel_prices[[#This Row],[Date]])</f>
        <v>2</v>
      </c>
      <c r="D675" s="6" t="str">
        <f>TEXT(Fuel_prices[[#This Row],[Date]],"mmm")</f>
        <v>Feb</v>
      </c>
      <c r="E675" s="6">
        <f>YEAR(Fuel_prices[[#This Row],[Date]])</f>
        <v>2026</v>
      </c>
      <c r="F675" s="5">
        <v>64.47</v>
      </c>
      <c r="G675" s="2">
        <f ca="1">ROUND(IFERROR((Fuel_prices[[#This Row],[Crude_Oil_Price]]-OFFSET(Fuel_prices[[#This Row],[Crude_Oil_Price]],-1,0)),0),2)</f>
        <v>4.43</v>
      </c>
      <c r="H675" s="2">
        <f ca="1">ROUND((IFERROR((Fuel_prices[[#This Row],[Crude_Oil_Price]]-OFFSET(Fuel_prices[[#This Row],[Crude_Oil_Price]],-1,0))/(OFFSET(Fuel_prices[[#This Row],[Crude_Oil_Price]],-1,0)),0))*100,2)</f>
        <v>7.38</v>
      </c>
      <c r="I675" s="2" t="str" cm="1">
        <f t="array" aca="1" ref="I675" ca="1">_xlfn.IFS(
    ABS(Fuel_prices[[#This Row],[%_change]])&gt;50,"SEVERE IMPACT",
    ABS(Fuel_prices[[#This Row],[%_change]])&gt;25,"HIGH IMPACT",
    ABS(Fuel_prices[[#This Row],[%_change]])&gt;5,"MID IMPACT",
    ABS(Fuel_prices[[#This Row],[%_change]])&lt;=5,"LITTLE IMPACT"
)</f>
        <v>MID IMPACT</v>
      </c>
    </row>
    <row r="676" spans="1:9" x14ac:dyDescent="0.25">
      <c r="A676" s="4">
        <v>46082</v>
      </c>
      <c r="B676" s="6" t="str">
        <f>_xlfn.CONCAT("Q",CEILING(Fuel_prices[[#This Row],[Month]]/3,1))</f>
        <v>Q1</v>
      </c>
      <c r="C676" s="6">
        <f>MONTH(Fuel_prices[[#This Row],[Date]])</f>
        <v>3</v>
      </c>
      <c r="D676" s="6" t="str">
        <f>TEXT(Fuel_prices[[#This Row],[Date]],"mmm")</f>
        <v>Mar</v>
      </c>
      <c r="E676" s="6">
        <f>YEAR(Fuel_prices[[#This Row],[Date]])</f>
        <v>2026</v>
      </c>
      <c r="F676" s="5">
        <v>87.84</v>
      </c>
      <c r="G676" s="2">
        <f ca="1">ROUND(IFERROR((Fuel_prices[[#This Row],[Crude_Oil_Price]]-OFFSET(Fuel_prices[[#This Row],[Crude_Oil_Price]],-1,0)),0),2)</f>
        <v>23.37</v>
      </c>
      <c r="H676" s="2">
        <f ca="1">ROUND((IFERROR((Fuel_prices[[#This Row],[Crude_Oil_Price]]-OFFSET(Fuel_prices[[#This Row],[Crude_Oil_Price]],-1,0))/(OFFSET(Fuel_prices[[#This Row],[Crude_Oil_Price]],-1,0)),0))*100,2)</f>
        <v>36.25</v>
      </c>
      <c r="I676" s="2" t="str" cm="1">
        <f t="array" aca="1" ref="I676" ca="1">_xlfn.IFS(
    ABS(Fuel_prices[[#This Row],[%_change]])&gt;50,"SEVERE IMPACT",
    ABS(Fuel_prices[[#This Row],[%_change]])&gt;25,"HIGH IMPACT",
    ABS(Fuel_prices[[#This Row],[%_change]])&gt;5,"MID IMPACT",
    ABS(Fuel_prices[[#This Row],[%_change]])&lt;=5,"LITTLE IMPACT"
)</f>
        <v>HIGH IMPACT</v>
      </c>
    </row>
  </sheetData>
  <mergeCells count="1">
    <mergeCell ref="L2:M2"/>
  </mergeCells>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960"/>
  <sheetViews>
    <sheetView workbookViewId="0">
      <selection activeCell="D21" sqref="D21"/>
    </sheetView>
  </sheetViews>
  <sheetFormatPr defaultRowHeight="15" x14ac:dyDescent="0.25"/>
  <cols>
    <col min="1" max="1" width="11.5703125" bestFit="1" customWidth="1"/>
    <col min="2" max="2" width="14.7109375" bestFit="1" customWidth="1"/>
    <col min="3" max="3" width="20.140625" bestFit="1" customWidth="1"/>
    <col min="4" max="4" width="13.28515625" bestFit="1" customWidth="1"/>
    <col min="5" max="5" width="14.28515625" bestFit="1" customWidth="1"/>
    <col min="6" max="7" width="6.7109375" bestFit="1" customWidth="1"/>
    <col min="8" max="8" width="12.85546875" bestFit="1" customWidth="1"/>
    <col min="9" max="9" width="6.5703125" bestFit="1" customWidth="1"/>
    <col min="10" max="10" width="12" bestFit="1" customWidth="1"/>
    <col min="11" max="11" width="12.7109375" bestFit="1" customWidth="1"/>
    <col min="12" max="12" width="8.42578125" bestFit="1" customWidth="1"/>
    <col min="13" max="47" width="6.7109375" bestFit="1" customWidth="1"/>
    <col min="48" max="48" width="5.7109375" bestFit="1" customWidth="1"/>
    <col min="49" max="49" width="4.7109375" bestFit="1" customWidth="1"/>
    <col min="50" max="68" width="5.7109375" bestFit="1" customWidth="1"/>
    <col min="69" max="69" width="4.7109375" bestFit="1" customWidth="1"/>
    <col min="70" max="77" width="5.7109375" bestFit="1" customWidth="1"/>
    <col min="78" max="78" width="2.7109375" bestFit="1" customWidth="1"/>
    <col min="79" max="95" width="5.7109375" bestFit="1" customWidth="1"/>
    <col min="96" max="96" width="2.7109375" bestFit="1" customWidth="1"/>
    <col min="97" max="105" width="5.7109375" bestFit="1" customWidth="1"/>
    <col min="106" max="106" width="4.7109375" bestFit="1" customWidth="1"/>
    <col min="107" max="126" width="5.7109375" bestFit="1" customWidth="1"/>
    <col min="127" max="127" width="4.7109375" bestFit="1" customWidth="1"/>
    <col min="128" max="130" width="5.7109375" bestFit="1" customWidth="1"/>
    <col min="131" max="131" width="4.7109375" bestFit="1" customWidth="1"/>
    <col min="132" max="135" width="5.7109375" bestFit="1" customWidth="1"/>
    <col min="136" max="136" width="2.7109375" bestFit="1" customWidth="1"/>
    <col min="137" max="143" width="5.7109375" bestFit="1" customWidth="1"/>
    <col min="144" max="144" width="4.7109375" bestFit="1" customWidth="1"/>
    <col min="145" max="145" width="5.7109375" bestFit="1" customWidth="1"/>
    <col min="146" max="146" width="4.7109375" bestFit="1" customWidth="1"/>
    <col min="147" max="148" width="5.7109375" bestFit="1" customWidth="1"/>
    <col min="149" max="149" width="4.7109375" bestFit="1" customWidth="1"/>
    <col min="150" max="152" width="5.7109375" bestFit="1" customWidth="1"/>
    <col min="153" max="153" width="4.7109375" bestFit="1" customWidth="1"/>
    <col min="154" max="155" width="5.7109375" bestFit="1" customWidth="1"/>
    <col min="156" max="156" width="4.7109375" bestFit="1" customWidth="1"/>
    <col min="157" max="181" width="5.7109375" bestFit="1" customWidth="1"/>
    <col min="182" max="182" width="4.7109375" bestFit="1" customWidth="1"/>
    <col min="183" max="195" width="5.7109375" bestFit="1" customWidth="1"/>
    <col min="196" max="196" width="4.7109375" bestFit="1" customWidth="1"/>
    <col min="197" max="204" width="5.7109375" bestFit="1" customWidth="1"/>
    <col min="205" max="205" width="2.7109375" bestFit="1" customWidth="1"/>
    <col min="206" max="208" width="5.7109375" bestFit="1" customWidth="1"/>
    <col min="209" max="209" width="4.7109375" bestFit="1" customWidth="1"/>
    <col min="210" max="220" width="5.7109375" bestFit="1" customWidth="1"/>
    <col min="221" max="221" width="4.7109375" bestFit="1" customWidth="1"/>
    <col min="222" max="226" width="5.7109375" bestFit="1" customWidth="1"/>
    <col min="227" max="227" width="4.7109375" bestFit="1" customWidth="1"/>
    <col min="228" max="232" width="5.7109375" bestFit="1" customWidth="1"/>
    <col min="233" max="233" width="2" bestFit="1" customWidth="1"/>
    <col min="234" max="237" width="5" bestFit="1" customWidth="1"/>
    <col min="238" max="238" width="4" bestFit="1" customWidth="1"/>
    <col min="239" max="242" width="5" bestFit="1" customWidth="1"/>
    <col min="243" max="243" width="4" bestFit="1" customWidth="1"/>
    <col min="244" max="250" width="5" bestFit="1" customWidth="1"/>
    <col min="251" max="251" width="4" bestFit="1" customWidth="1"/>
    <col min="252" max="259" width="5" bestFit="1" customWidth="1"/>
    <col min="260" max="260" width="4" bestFit="1" customWidth="1"/>
    <col min="261" max="275" width="5" bestFit="1" customWidth="1"/>
    <col min="276" max="276" width="4" bestFit="1" customWidth="1"/>
    <col min="277" max="286" width="5" bestFit="1" customWidth="1"/>
    <col min="287" max="287" width="4" bestFit="1" customWidth="1"/>
    <col min="288" max="292" width="5" bestFit="1" customWidth="1"/>
    <col min="293" max="293" width="4" bestFit="1" customWidth="1"/>
    <col min="294" max="306" width="5" bestFit="1" customWidth="1"/>
    <col min="307" max="307" width="4" bestFit="1" customWidth="1"/>
    <col min="308" max="322" width="5" bestFit="1" customWidth="1"/>
    <col min="323" max="323" width="4" bestFit="1" customWidth="1"/>
    <col min="324" max="325" width="5" bestFit="1" customWidth="1"/>
    <col min="326" max="326" width="4" bestFit="1" customWidth="1"/>
    <col min="327" max="331" width="5" bestFit="1" customWidth="1"/>
    <col min="332" max="332" width="2" bestFit="1" customWidth="1"/>
    <col min="333" max="345" width="5" bestFit="1" customWidth="1"/>
    <col min="346" max="346" width="4" bestFit="1" customWidth="1"/>
    <col min="347" max="353" width="5" bestFit="1" customWidth="1"/>
    <col min="354" max="354" width="4" bestFit="1" customWidth="1"/>
    <col min="355" max="355" width="5" bestFit="1" customWidth="1"/>
    <col min="356" max="356" width="4" bestFit="1" customWidth="1"/>
    <col min="357" max="358" width="5" bestFit="1" customWidth="1"/>
    <col min="359" max="359" width="4" bestFit="1" customWidth="1"/>
    <col min="360" max="361" width="5" bestFit="1" customWidth="1"/>
    <col min="362" max="362" width="4" bestFit="1" customWidth="1"/>
    <col min="363" max="372" width="5" bestFit="1" customWidth="1"/>
    <col min="373" max="373" width="4" bestFit="1" customWidth="1"/>
    <col min="374" max="377" width="5" bestFit="1" customWidth="1"/>
    <col min="378" max="378" width="4" bestFit="1" customWidth="1"/>
    <col min="379" max="388" width="5" bestFit="1" customWidth="1"/>
    <col min="389" max="389" width="4" bestFit="1" customWidth="1"/>
    <col min="390" max="397" width="5" bestFit="1" customWidth="1"/>
    <col min="398" max="398" width="4" bestFit="1" customWidth="1"/>
    <col min="399" max="402" width="5" bestFit="1" customWidth="1"/>
    <col min="403" max="403" width="4" bestFit="1" customWidth="1"/>
    <col min="404" max="436" width="5" bestFit="1" customWidth="1"/>
    <col min="437" max="437" width="4" bestFit="1" customWidth="1"/>
    <col min="438" max="454" width="5" bestFit="1" customWidth="1"/>
    <col min="455" max="455" width="4" bestFit="1" customWidth="1"/>
    <col min="456" max="459" width="5" bestFit="1" customWidth="1"/>
    <col min="460" max="460" width="4" bestFit="1" customWidth="1"/>
    <col min="461" max="462" width="5" bestFit="1" customWidth="1"/>
    <col min="463" max="467" width="6" bestFit="1" customWidth="1"/>
    <col min="468" max="468" width="5" bestFit="1" customWidth="1"/>
    <col min="469" max="485" width="6" bestFit="1" customWidth="1"/>
    <col min="486" max="486" width="5" bestFit="1" customWidth="1"/>
    <col min="487" max="489" width="6" bestFit="1" customWidth="1"/>
    <col min="490" max="490" width="5" bestFit="1" customWidth="1"/>
    <col min="491" max="497" width="6" bestFit="1" customWidth="1"/>
    <col min="498" max="498" width="5" bestFit="1" customWidth="1"/>
    <col min="499" max="520" width="6" bestFit="1" customWidth="1"/>
    <col min="521" max="521" width="7" bestFit="1" customWidth="1"/>
    <col min="522" max="522" width="11.28515625" bestFit="1" customWidth="1"/>
    <col min="523" max="532" width="5.5703125" bestFit="1" customWidth="1"/>
    <col min="533" max="579" width="6.5703125" bestFit="1" customWidth="1"/>
    <col min="580" max="580" width="11.28515625" bestFit="1" customWidth="1"/>
  </cols>
  <sheetData>
    <row r="2" spans="1:12" x14ac:dyDescent="0.25">
      <c r="A2" s="10" t="s">
        <v>3</v>
      </c>
      <c r="B2" s="2" t="s">
        <v>36</v>
      </c>
      <c r="D2" s="10" t="s">
        <v>3</v>
      </c>
      <c r="E2" s="2" t="s">
        <v>37</v>
      </c>
      <c r="H2" s="10" t="s">
        <v>4</v>
      </c>
      <c r="I2" s="2" t="s">
        <v>44</v>
      </c>
    </row>
    <row r="3" spans="1:12" x14ac:dyDescent="0.25">
      <c r="A3" s="2" t="s">
        <v>24</v>
      </c>
      <c r="B3" s="5">
        <v>6.1926315789473705</v>
      </c>
      <c r="D3" s="2" t="s">
        <v>20</v>
      </c>
      <c r="E3" s="6">
        <v>11</v>
      </c>
      <c r="H3" s="2">
        <v>1970</v>
      </c>
      <c r="I3" s="5">
        <v>1.2100000000000002</v>
      </c>
      <c r="K3" t="s">
        <v>45</v>
      </c>
      <c r="L3" s="8">
        <f>I3</f>
        <v>1.2100000000000002</v>
      </c>
    </row>
    <row r="4" spans="1:12" x14ac:dyDescent="0.25">
      <c r="A4" s="2" t="s">
        <v>25</v>
      </c>
      <c r="B4" s="5">
        <v>5.4912280701754287E-2</v>
      </c>
      <c r="D4" s="2" t="s">
        <v>21</v>
      </c>
      <c r="E4" s="6">
        <v>399</v>
      </c>
      <c r="H4" s="14">
        <v>1</v>
      </c>
      <c r="I4" s="5">
        <v>1.21</v>
      </c>
      <c r="L4" s="1"/>
    </row>
    <row r="5" spans="1:12" x14ac:dyDescent="0.25">
      <c r="A5" s="2" t="s">
        <v>26</v>
      </c>
      <c r="B5" s="5">
        <v>1.8238596491228074</v>
      </c>
      <c r="D5" s="2" t="s">
        <v>22</v>
      </c>
      <c r="E5" s="6">
        <v>262</v>
      </c>
      <c r="H5" s="15" t="s">
        <v>24</v>
      </c>
      <c r="I5" s="5">
        <v>1.21</v>
      </c>
    </row>
    <row r="6" spans="1:12" x14ac:dyDescent="0.25">
      <c r="A6" s="2" t="s">
        <v>27</v>
      </c>
      <c r="B6" s="5">
        <v>1.2641071428571429</v>
      </c>
      <c r="D6" s="2" t="s">
        <v>23</v>
      </c>
      <c r="E6" s="6">
        <v>3</v>
      </c>
      <c r="H6" s="15" t="s">
        <v>25</v>
      </c>
      <c r="I6" s="5">
        <v>1.21</v>
      </c>
    </row>
    <row r="7" spans="1:12" x14ac:dyDescent="0.25">
      <c r="A7" s="2" t="s">
        <v>28</v>
      </c>
      <c r="B7" s="5">
        <v>2.9633928571428574</v>
      </c>
      <c r="D7" s="2" t="s">
        <v>19</v>
      </c>
      <c r="E7" s="6">
        <v>675</v>
      </c>
      <c r="H7" s="15" t="s">
        <v>26</v>
      </c>
      <c r="I7" s="5">
        <v>1.21</v>
      </c>
    </row>
    <row r="8" spans="1:12" x14ac:dyDescent="0.25">
      <c r="A8" s="2" t="s">
        <v>29</v>
      </c>
      <c r="B8" s="5">
        <v>0.33571428571428552</v>
      </c>
      <c r="H8" s="14">
        <v>2</v>
      </c>
      <c r="I8" s="5">
        <v>1.21</v>
      </c>
    </row>
    <row r="9" spans="1:12" x14ac:dyDescent="0.25">
      <c r="A9" s="2" t="s">
        <v>30</v>
      </c>
      <c r="B9" s="5">
        <v>0.89607142857142885</v>
      </c>
      <c r="H9" s="15" t="s">
        <v>27</v>
      </c>
      <c r="I9" s="5">
        <v>1.21</v>
      </c>
    </row>
    <row r="10" spans="1:12" x14ac:dyDescent="0.25">
      <c r="A10" s="2" t="s">
        <v>31</v>
      </c>
      <c r="B10" s="5">
        <v>1.6533928571428567</v>
      </c>
      <c r="D10" s="10" t="s">
        <v>42</v>
      </c>
      <c r="E10" s="2" t="s">
        <v>43</v>
      </c>
      <c r="H10" s="15" t="s">
        <v>28</v>
      </c>
      <c r="I10" s="5">
        <v>1.21</v>
      </c>
    </row>
    <row r="11" spans="1:12" x14ac:dyDescent="0.25">
      <c r="A11" s="2" t="s">
        <v>32</v>
      </c>
      <c r="B11" s="5">
        <v>0.77821428571428553</v>
      </c>
      <c r="D11" s="2" t="s">
        <v>38</v>
      </c>
      <c r="E11" s="5">
        <v>2.69046783625731</v>
      </c>
      <c r="H11" s="15" t="s">
        <v>29</v>
      </c>
      <c r="I11" s="5">
        <v>1.21</v>
      </c>
    </row>
    <row r="12" spans="1:12" x14ac:dyDescent="0.25">
      <c r="A12" s="2" t="s">
        <v>33</v>
      </c>
      <c r="B12" s="5">
        <v>1.4330357142857149</v>
      </c>
      <c r="D12" s="2" t="s">
        <v>39</v>
      </c>
      <c r="E12" s="5">
        <v>1.5210714285714286</v>
      </c>
      <c r="H12" s="14">
        <v>3</v>
      </c>
      <c r="I12" s="5">
        <v>1.21</v>
      </c>
    </row>
    <row r="13" spans="1:12" x14ac:dyDescent="0.25">
      <c r="A13" s="2" t="s">
        <v>34</v>
      </c>
      <c r="B13" s="5">
        <v>-1.5705357142857146</v>
      </c>
      <c r="D13" s="2" t="s">
        <v>40</v>
      </c>
      <c r="E13" s="5">
        <v>1.1092261904761904</v>
      </c>
      <c r="H13" s="15" t="s">
        <v>30</v>
      </c>
      <c r="I13" s="5">
        <v>1.21</v>
      </c>
    </row>
    <row r="14" spans="1:12" x14ac:dyDescent="0.25">
      <c r="A14" s="2" t="s">
        <v>35</v>
      </c>
      <c r="B14" s="5">
        <v>-1.9923214285714281</v>
      </c>
      <c r="D14" s="2" t="s">
        <v>41</v>
      </c>
      <c r="E14" s="5">
        <v>-0.70994047619047618</v>
      </c>
      <c r="H14" s="15" t="s">
        <v>31</v>
      </c>
      <c r="I14" s="5">
        <v>1.21</v>
      </c>
    </row>
    <row r="15" spans="1:12" x14ac:dyDescent="0.25">
      <c r="A15" s="2" t="s">
        <v>19</v>
      </c>
      <c r="B15" s="5">
        <v>1.1595407407407416</v>
      </c>
      <c r="D15" s="2" t="s">
        <v>19</v>
      </c>
      <c r="E15" s="5">
        <v>1.1595407407407408</v>
      </c>
      <c r="H15" s="15" t="s">
        <v>32</v>
      </c>
      <c r="I15" s="5">
        <v>1.21</v>
      </c>
    </row>
    <row r="16" spans="1:12" x14ac:dyDescent="0.25">
      <c r="H16" s="14">
        <v>4</v>
      </c>
      <c r="I16" s="5">
        <v>1.21</v>
      </c>
    </row>
    <row r="17" spans="8:9" x14ac:dyDescent="0.25">
      <c r="H17" s="15" t="s">
        <v>33</v>
      </c>
      <c r="I17" s="5">
        <v>1.21</v>
      </c>
    </row>
    <row r="18" spans="8:9" x14ac:dyDescent="0.25">
      <c r="H18" s="15" t="s">
        <v>34</v>
      </c>
      <c r="I18" s="5">
        <v>1.21</v>
      </c>
    </row>
    <row r="19" spans="8:9" x14ac:dyDescent="0.25">
      <c r="H19" s="15" t="s">
        <v>35</v>
      </c>
      <c r="I19" s="5">
        <v>1.21</v>
      </c>
    </row>
    <row r="20" spans="8:9" x14ac:dyDescent="0.25">
      <c r="H20" s="2">
        <v>1971</v>
      </c>
      <c r="I20" s="5">
        <v>1.6899999999999997</v>
      </c>
    </row>
    <row r="21" spans="8:9" x14ac:dyDescent="0.25">
      <c r="H21" s="14">
        <v>1</v>
      </c>
      <c r="I21" s="5">
        <v>1.64</v>
      </c>
    </row>
    <row r="22" spans="8:9" x14ac:dyDescent="0.25">
      <c r="H22" s="15" t="s">
        <v>24</v>
      </c>
      <c r="I22" s="5">
        <v>1.64</v>
      </c>
    </row>
    <row r="23" spans="8:9" x14ac:dyDescent="0.25">
      <c r="H23" s="15" t="s">
        <v>25</v>
      </c>
      <c r="I23" s="5">
        <v>1.64</v>
      </c>
    </row>
    <row r="24" spans="8:9" x14ac:dyDescent="0.25">
      <c r="H24" s="15" t="s">
        <v>26</v>
      </c>
      <c r="I24" s="5">
        <v>1.64</v>
      </c>
    </row>
    <row r="25" spans="8:9" x14ac:dyDescent="0.25">
      <c r="H25" s="14">
        <v>2</v>
      </c>
      <c r="I25" s="5">
        <v>1.64</v>
      </c>
    </row>
    <row r="26" spans="8:9" x14ac:dyDescent="0.25">
      <c r="H26" s="15" t="s">
        <v>27</v>
      </c>
      <c r="I26" s="5">
        <v>1.64</v>
      </c>
    </row>
    <row r="27" spans="8:9" x14ac:dyDescent="0.25">
      <c r="H27" s="15" t="s">
        <v>28</v>
      </c>
      <c r="I27" s="5">
        <v>1.64</v>
      </c>
    </row>
    <row r="28" spans="8:9" x14ac:dyDescent="0.25">
      <c r="H28" s="15" t="s">
        <v>29</v>
      </c>
      <c r="I28" s="5">
        <v>1.64</v>
      </c>
    </row>
    <row r="29" spans="8:9" x14ac:dyDescent="0.25">
      <c r="H29" s="14">
        <v>3</v>
      </c>
      <c r="I29" s="5">
        <v>1.74</v>
      </c>
    </row>
    <row r="30" spans="8:9" x14ac:dyDescent="0.25">
      <c r="H30" s="15" t="s">
        <v>30</v>
      </c>
      <c r="I30" s="5">
        <v>1.74</v>
      </c>
    </row>
    <row r="31" spans="8:9" x14ac:dyDescent="0.25">
      <c r="H31" s="15" t="s">
        <v>31</v>
      </c>
      <c r="I31" s="5">
        <v>1.74</v>
      </c>
    </row>
    <row r="32" spans="8:9" x14ac:dyDescent="0.25">
      <c r="H32" s="15" t="s">
        <v>32</v>
      </c>
      <c r="I32" s="5">
        <v>1.74</v>
      </c>
    </row>
    <row r="33" spans="8:9" x14ac:dyDescent="0.25">
      <c r="H33" s="14">
        <v>4</v>
      </c>
      <c r="I33" s="5">
        <v>1.74</v>
      </c>
    </row>
    <row r="34" spans="8:9" x14ac:dyDescent="0.25">
      <c r="H34" s="15" t="s">
        <v>33</v>
      </c>
      <c r="I34" s="5">
        <v>1.74</v>
      </c>
    </row>
    <row r="35" spans="8:9" x14ac:dyDescent="0.25">
      <c r="H35" s="15" t="s">
        <v>34</v>
      </c>
      <c r="I35" s="5">
        <v>1.74</v>
      </c>
    </row>
    <row r="36" spans="8:9" x14ac:dyDescent="0.25">
      <c r="H36" s="15" t="s">
        <v>35</v>
      </c>
      <c r="I36" s="5">
        <v>1.74</v>
      </c>
    </row>
    <row r="37" spans="8:9" x14ac:dyDescent="0.25">
      <c r="H37" s="2">
        <v>1972</v>
      </c>
      <c r="I37" s="5">
        <v>1.8200000000000003</v>
      </c>
    </row>
    <row r="38" spans="8:9" x14ac:dyDescent="0.25">
      <c r="H38" s="14">
        <v>1</v>
      </c>
      <c r="I38" s="5">
        <v>1.7700000000000002</v>
      </c>
    </row>
    <row r="39" spans="8:9" x14ac:dyDescent="0.25">
      <c r="H39" s="15" t="s">
        <v>24</v>
      </c>
      <c r="I39" s="5">
        <v>1.77</v>
      </c>
    </row>
    <row r="40" spans="8:9" x14ac:dyDescent="0.25">
      <c r="H40" s="15" t="s">
        <v>25</v>
      </c>
      <c r="I40" s="5">
        <v>1.77</v>
      </c>
    </row>
    <row r="41" spans="8:9" x14ac:dyDescent="0.25">
      <c r="H41" s="15" t="s">
        <v>26</v>
      </c>
      <c r="I41" s="5">
        <v>1.77</v>
      </c>
    </row>
    <row r="42" spans="8:9" x14ac:dyDescent="0.25">
      <c r="H42" s="14">
        <v>2</v>
      </c>
      <c r="I42" s="5">
        <v>1.7700000000000002</v>
      </c>
    </row>
    <row r="43" spans="8:9" x14ac:dyDescent="0.25">
      <c r="H43" s="15" t="s">
        <v>27</v>
      </c>
      <c r="I43" s="5">
        <v>1.77</v>
      </c>
    </row>
    <row r="44" spans="8:9" x14ac:dyDescent="0.25">
      <c r="H44" s="15" t="s">
        <v>28</v>
      </c>
      <c r="I44" s="5">
        <v>1.77</v>
      </c>
    </row>
    <row r="45" spans="8:9" x14ac:dyDescent="0.25">
      <c r="H45" s="15" t="s">
        <v>29</v>
      </c>
      <c r="I45" s="5">
        <v>1.77</v>
      </c>
    </row>
    <row r="46" spans="8:9" x14ac:dyDescent="0.25">
      <c r="H46" s="14">
        <v>3</v>
      </c>
      <c r="I46" s="5">
        <v>1.87</v>
      </c>
    </row>
    <row r="47" spans="8:9" x14ac:dyDescent="0.25">
      <c r="H47" s="15" t="s">
        <v>30</v>
      </c>
      <c r="I47" s="5">
        <v>1.87</v>
      </c>
    </row>
    <row r="48" spans="8:9" x14ac:dyDescent="0.25">
      <c r="H48" s="15" t="s">
        <v>31</v>
      </c>
      <c r="I48" s="5">
        <v>1.87</v>
      </c>
    </row>
    <row r="49" spans="8:9" x14ac:dyDescent="0.25">
      <c r="H49" s="15" t="s">
        <v>32</v>
      </c>
      <c r="I49" s="5">
        <v>1.87</v>
      </c>
    </row>
    <row r="50" spans="8:9" x14ac:dyDescent="0.25">
      <c r="H50" s="14">
        <v>4</v>
      </c>
      <c r="I50" s="5">
        <v>1.87</v>
      </c>
    </row>
    <row r="51" spans="8:9" x14ac:dyDescent="0.25">
      <c r="H51" s="15" t="s">
        <v>33</v>
      </c>
      <c r="I51" s="5">
        <v>1.87</v>
      </c>
    </row>
    <row r="52" spans="8:9" x14ac:dyDescent="0.25">
      <c r="H52" s="15" t="s">
        <v>34</v>
      </c>
      <c r="I52" s="5">
        <v>1.87</v>
      </c>
    </row>
    <row r="53" spans="8:9" x14ac:dyDescent="0.25">
      <c r="H53" s="15" t="s">
        <v>35</v>
      </c>
      <c r="I53" s="5">
        <v>1.87</v>
      </c>
    </row>
    <row r="54" spans="8:9" x14ac:dyDescent="0.25">
      <c r="H54" s="2">
        <v>1973</v>
      </c>
      <c r="I54" s="5">
        <v>2.8074999999999997</v>
      </c>
    </row>
    <row r="55" spans="8:9" x14ac:dyDescent="0.25">
      <c r="H55" s="14">
        <v>1</v>
      </c>
      <c r="I55" s="5">
        <v>2.08</v>
      </c>
    </row>
    <row r="56" spans="8:9" x14ac:dyDescent="0.25">
      <c r="H56" s="15" t="s">
        <v>24</v>
      </c>
      <c r="I56" s="5">
        <v>2.08</v>
      </c>
    </row>
    <row r="57" spans="8:9" x14ac:dyDescent="0.25">
      <c r="H57" s="15" t="s">
        <v>25</v>
      </c>
      <c r="I57" s="5">
        <v>2.08</v>
      </c>
    </row>
    <row r="58" spans="8:9" x14ac:dyDescent="0.25">
      <c r="H58" s="15" t="s">
        <v>26</v>
      </c>
      <c r="I58" s="5">
        <v>2.08</v>
      </c>
    </row>
    <row r="59" spans="8:9" x14ac:dyDescent="0.25">
      <c r="H59" s="14">
        <v>2</v>
      </c>
      <c r="I59" s="5">
        <v>2.35</v>
      </c>
    </row>
    <row r="60" spans="8:9" x14ac:dyDescent="0.25">
      <c r="H60" s="15" t="s">
        <v>27</v>
      </c>
      <c r="I60" s="5">
        <v>2.35</v>
      </c>
    </row>
    <row r="61" spans="8:9" x14ac:dyDescent="0.25">
      <c r="H61" s="15" t="s">
        <v>28</v>
      </c>
      <c r="I61" s="5">
        <v>2.35</v>
      </c>
    </row>
    <row r="62" spans="8:9" x14ac:dyDescent="0.25">
      <c r="H62" s="15" t="s">
        <v>29</v>
      </c>
      <c r="I62" s="5">
        <v>2.35</v>
      </c>
    </row>
    <row r="63" spans="8:9" x14ac:dyDescent="0.25">
      <c r="H63" s="14">
        <v>3</v>
      </c>
      <c r="I63" s="5">
        <v>2.7000000000000006</v>
      </c>
    </row>
    <row r="64" spans="8:9" x14ac:dyDescent="0.25">
      <c r="H64" s="15" t="s">
        <v>30</v>
      </c>
      <c r="I64" s="5">
        <v>2.7</v>
      </c>
    </row>
    <row r="65" spans="8:9" x14ac:dyDescent="0.25">
      <c r="H65" s="15" t="s">
        <v>31</v>
      </c>
      <c r="I65" s="5">
        <v>2.7</v>
      </c>
    </row>
    <row r="66" spans="8:9" x14ac:dyDescent="0.25">
      <c r="H66" s="15" t="s">
        <v>32</v>
      </c>
      <c r="I66" s="5">
        <v>2.7</v>
      </c>
    </row>
    <row r="67" spans="8:9" x14ac:dyDescent="0.25">
      <c r="H67" s="14">
        <v>4</v>
      </c>
      <c r="I67" s="5">
        <v>4.0999999999999996</v>
      </c>
    </row>
    <row r="68" spans="8:9" x14ac:dyDescent="0.25">
      <c r="H68" s="15" t="s">
        <v>33</v>
      </c>
      <c r="I68" s="5">
        <v>4.0999999999999996</v>
      </c>
    </row>
    <row r="69" spans="8:9" x14ac:dyDescent="0.25">
      <c r="H69" s="15" t="s">
        <v>34</v>
      </c>
      <c r="I69" s="5">
        <v>4.0999999999999996</v>
      </c>
    </row>
    <row r="70" spans="8:9" x14ac:dyDescent="0.25">
      <c r="H70" s="15" t="s">
        <v>35</v>
      </c>
      <c r="I70" s="5">
        <v>4.0999999999999996</v>
      </c>
    </row>
    <row r="71" spans="8:9" x14ac:dyDescent="0.25">
      <c r="H71" s="2">
        <v>1974</v>
      </c>
      <c r="I71" s="5">
        <v>10.974999427795</v>
      </c>
    </row>
    <row r="72" spans="8:9" x14ac:dyDescent="0.25">
      <c r="H72" s="14">
        <v>1</v>
      </c>
      <c r="I72" s="5">
        <v>13</v>
      </c>
    </row>
    <row r="73" spans="8:9" x14ac:dyDescent="0.25">
      <c r="H73" s="15" t="s">
        <v>24</v>
      </c>
      <c r="I73" s="5">
        <v>13</v>
      </c>
    </row>
    <row r="74" spans="8:9" x14ac:dyDescent="0.25">
      <c r="H74" s="15" t="s">
        <v>25</v>
      </c>
      <c r="I74" s="5">
        <v>13</v>
      </c>
    </row>
    <row r="75" spans="8:9" x14ac:dyDescent="0.25">
      <c r="H75" s="15" t="s">
        <v>26</v>
      </c>
      <c r="I75" s="5">
        <v>13</v>
      </c>
    </row>
    <row r="76" spans="8:9" x14ac:dyDescent="0.25">
      <c r="H76" s="14">
        <v>2</v>
      </c>
      <c r="I76" s="5">
        <v>10.59999847412</v>
      </c>
    </row>
    <row r="77" spans="8:9" x14ac:dyDescent="0.25">
      <c r="H77" s="15" t="s">
        <v>27</v>
      </c>
      <c r="I77" s="5">
        <v>10.59999847412</v>
      </c>
    </row>
    <row r="78" spans="8:9" x14ac:dyDescent="0.25">
      <c r="H78" s="15" t="s">
        <v>28</v>
      </c>
      <c r="I78" s="5">
        <v>10.59999847412</v>
      </c>
    </row>
    <row r="79" spans="8:9" x14ac:dyDescent="0.25">
      <c r="H79" s="15" t="s">
        <v>29</v>
      </c>
      <c r="I79" s="5">
        <v>10.59999847412</v>
      </c>
    </row>
    <row r="80" spans="8:9" x14ac:dyDescent="0.25">
      <c r="H80" s="14">
        <v>3</v>
      </c>
      <c r="I80" s="5">
        <v>10</v>
      </c>
    </row>
    <row r="81" spans="8:9" x14ac:dyDescent="0.25">
      <c r="H81" s="15" t="s">
        <v>30</v>
      </c>
      <c r="I81" s="5">
        <v>10</v>
      </c>
    </row>
    <row r="82" spans="8:9" x14ac:dyDescent="0.25">
      <c r="H82" s="15" t="s">
        <v>31</v>
      </c>
      <c r="I82" s="5">
        <v>10</v>
      </c>
    </row>
    <row r="83" spans="8:9" x14ac:dyDescent="0.25">
      <c r="H83" s="15" t="s">
        <v>32</v>
      </c>
      <c r="I83" s="5">
        <v>10</v>
      </c>
    </row>
    <row r="84" spans="8:9" x14ac:dyDescent="0.25">
      <c r="H84" s="14">
        <v>4</v>
      </c>
      <c r="I84" s="5">
        <v>10.29999923706</v>
      </c>
    </row>
    <row r="85" spans="8:9" x14ac:dyDescent="0.25">
      <c r="H85" s="15" t="s">
        <v>33</v>
      </c>
      <c r="I85" s="5">
        <v>10.29999923706</v>
      </c>
    </row>
    <row r="86" spans="8:9" x14ac:dyDescent="0.25">
      <c r="H86" s="15" t="s">
        <v>34</v>
      </c>
      <c r="I86" s="5">
        <v>10.29999923706</v>
      </c>
    </row>
    <row r="87" spans="8:9" x14ac:dyDescent="0.25">
      <c r="H87" s="15" t="s">
        <v>35</v>
      </c>
      <c r="I87" s="5">
        <v>10.29999923706</v>
      </c>
    </row>
    <row r="88" spans="8:9" x14ac:dyDescent="0.25">
      <c r="H88" s="2">
        <v>1975</v>
      </c>
      <c r="I88" s="5">
        <v>10.432500123977499</v>
      </c>
    </row>
    <row r="89" spans="8:9" x14ac:dyDescent="0.25">
      <c r="H89" s="14">
        <v>1</v>
      </c>
      <c r="I89" s="5">
        <v>10.42000007629</v>
      </c>
    </row>
    <row r="90" spans="8:9" x14ac:dyDescent="0.25">
      <c r="H90" s="15" t="s">
        <v>24</v>
      </c>
      <c r="I90" s="5">
        <v>10.42000007629</v>
      </c>
    </row>
    <row r="91" spans="8:9" x14ac:dyDescent="0.25">
      <c r="H91" s="15" t="s">
        <v>25</v>
      </c>
      <c r="I91" s="5">
        <v>10.42000007629</v>
      </c>
    </row>
    <row r="92" spans="8:9" x14ac:dyDescent="0.25">
      <c r="H92" s="15" t="s">
        <v>26</v>
      </c>
      <c r="I92" s="5">
        <v>10.42000007629</v>
      </c>
    </row>
    <row r="93" spans="8:9" x14ac:dyDescent="0.25">
      <c r="H93" s="14">
        <v>2</v>
      </c>
      <c r="I93" s="5">
        <v>10.42000007629</v>
      </c>
    </row>
    <row r="94" spans="8:9" x14ac:dyDescent="0.25">
      <c r="H94" s="15" t="s">
        <v>27</v>
      </c>
      <c r="I94" s="5">
        <v>10.42000007629</v>
      </c>
    </row>
    <row r="95" spans="8:9" x14ac:dyDescent="0.25">
      <c r="H95" s="15" t="s">
        <v>28</v>
      </c>
      <c r="I95" s="5">
        <v>10.42000007629</v>
      </c>
    </row>
    <row r="96" spans="8:9" x14ac:dyDescent="0.25">
      <c r="H96" s="15" t="s">
        <v>29</v>
      </c>
      <c r="I96" s="5">
        <v>10.42000007629</v>
      </c>
    </row>
    <row r="97" spans="8:9" x14ac:dyDescent="0.25">
      <c r="H97" s="14">
        <v>3</v>
      </c>
      <c r="I97" s="5">
        <v>10.43000030518</v>
      </c>
    </row>
    <row r="98" spans="8:9" x14ac:dyDescent="0.25">
      <c r="H98" s="15" t="s">
        <v>30</v>
      </c>
      <c r="I98" s="5">
        <v>10.43000030518</v>
      </c>
    </row>
    <row r="99" spans="8:9" x14ac:dyDescent="0.25">
      <c r="H99" s="15" t="s">
        <v>31</v>
      </c>
      <c r="I99" s="5">
        <v>10.43000030518</v>
      </c>
    </row>
    <row r="100" spans="8:9" x14ac:dyDescent="0.25">
      <c r="H100" s="15" t="s">
        <v>32</v>
      </c>
      <c r="I100" s="5">
        <v>10.43000030518</v>
      </c>
    </row>
    <row r="101" spans="8:9" x14ac:dyDescent="0.25">
      <c r="H101" s="14">
        <v>4</v>
      </c>
      <c r="I101" s="5">
        <v>10.46000003815</v>
      </c>
    </row>
    <row r="102" spans="8:9" x14ac:dyDescent="0.25">
      <c r="H102" s="15" t="s">
        <v>33</v>
      </c>
      <c r="I102" s="5">
        <v>10.46000003815</v>
      </c>
    </row>
    <row r="103" spans="8:9" x14ac:dyDescent="0.25">
      <c r="H103" s="15" t="s">
        <v>34</v>
      </c>
      <c r="I103" s="5">
        <v>10.46000003815</v>
      </c>
    </row>
    <row r="104" spans="8:9" x14ac:dyDescent="0.25">
      <c r="H104" s="15" t="s">
        <v>35</v>
      </c>
      <c r="I104" s="5">
        <v>10.46000003815</v>
      </c>
    </row>
    <row r="105" spans="8:9" x14ac:dyDescent="0.25">
      <c r="H105" s="2">
        <v>1976</v>
      </c>
      <c r="I105" s="5">
        <v>11.63000011444</v>
      </c>
    </row>
    <row r="106" spans="8:9" x14ac:dyDescent="0.25">
      <c r="H106" s="14">
        <v>1</v>
      </c>
      <c r="I106" s="5">
        <v>11.510000228879997</v>
      </c>
    </row>
    <row r="107" spans="8:9" x14ac:dyDescent="0.25">
      <c r="H107" s="15" t="s">
        <v>24</v>
      </c>
      <c r="I107" s="5">
        <v>11.510000228879999</v>
      </c>
    </row>
    <row r="108" spans="8:9" x14ac:dyDescent="0.25">
      <c r="H108" s="15" t="s">
        <v>25</v>
      </c>
      <c r="I108" s="5">
        <v>11.510000228879999</v>
      </c>
    </row>
    <row r="109" spans="8:9" x14ac:dyDescent="0.25">
      <c r="H109" s="15" t="s">
        <v>26</v>
      </c>
      <c r="I109" s="5">
        <v>11.510000228879999</v>
      </c>
    </row>
    <row r="110" spans="8:9" x14ac:dyDescent="0.25">
      <c r="H110" s="14">
        <v>2</v>
      </c>
      <c r="I110" s="5">
        <v>11.510000228879997</v>
      </c>
    </row>
    <row r="111" spans="8:9" x14ac:dyDescent="0.25">
      <c r="H111" s="15" t="s">
        <v>27</v>
      </c>
      <c r="I111" s="5">
        <v>11.510000228879999</v>
      </c>
    </row>
    <row r="112" spans="8:9" x14ac:dyDescent="0.25">
      <c r="H112" s="15" t="s">
        <v>28</v>
      </c>
      <c r="I112" s="5">
        <v>11.510000228879999</v>
      </c>
    </row>
    <row r="113" spans="8:9" x14ac:dyDescent="0.25">
      <c r="H113" s="15" t="s">
        <v>29</v>
      </c>
      <c r="I113" s="5">
        <v>11.510000228879999</v>
      </c>
    </row>
    <row r="114" spans="8:9" x14ac:dyDescent="0.25">
      <c r="H114" s="14">
        <v>3</v>
      </c>
      <c r="I114" s="5">
        <v>11.600000381470002</v>
      </c>
    </row>
    <row r="115" spans="8:9" x14ac:dyDescent="0.25">
      <c r="H115" s="15" t="s">
        <v>30</v>
      </c>
      <c r="I115" s="5">
        <v>11.60000038147</v>
      </c>
    </row>
    <row r="116" spans="8:9" x14ac:dyDescent="0.25">
      <c r="H116" s="15" t="s">
        <v>31</v>
      </c>
      <c r="I116" s="5">
        <v>11.60000038147</v>
      </c>
    </row>
    <row r="117" spans="8:9" x14ac:dyDescent="0.25">
      <c r="H117" s="15" t="s">
        <v>32</v>
      </c>
      <c r="I117" s="5">
        <v>11.60000038147</v>
      </c>
    </row>
    <row r="118" spans="8:9" x14ac:dyDescent="0.25">
      <c r="H118" s="14">
        <v>4</v>
      </c>
      <c r="I118" s="5">
        <v>11.899999618529998</v>
      </c>
    </row>
    <row r="119" spans="8:9" x14ac:dyDescent="0.25">
      <c r="H119" s="15" t="s">
        <v>33</v>
      </c>
      <c r="I119" s="5">
        <v>11.89999961853</v>
      </c>
    </row>
    <row r="120" spans="8:9" x14ac:dyDescent="0.25">
      <c r="H120" s="15" t="s">
        <v>34</v>
      </c>
      <c r="I120" s="5">
        <v>11.89999961853</v>
      </c>
    </row>
    <row r="121" spans="8:9" x14ac:dyDescent="0.25">
      <c r="H121" s="15" t="s">
        <v>35</v>
      </c>
      <c r="I121" s="5">
        <v>11.89999961853</v>
      </c>
    </row>
    <row r="122" spans="8:9" x14ac:dyDescent="0.25">
      <c r="H122" s="2">
        <v>1977</v>
      </c>
      <c r="I122" s="5">
        <v>12.565000057222496</v>
      </c>
    </row>
    <row r="123" spans="8:9" x14ac:dyDescent="0.25">
      <c r="H123" s="14">
        <v>1</v>
      </c>
      <c r="I123" s="5">
        <v>12.5</v>
      </c>
    </row>
    <row r="124" spans="8:9" x14ac:dyDescent="0.25">
      <c r="H124" s="15" t="s">
        <v>24</v>
      </c>
      <c r="I124" s="5">
        <v>12.5</v>
      </c>
    </row>
    <row r="125" spans="8:9" x14ac:dyDescent="0.25">
      <c r="H125" s="15" t="s">
        <v>25</v>
      </c>
      <c r="I125" s="5">
        <v>12.5</v>
      </c>
    </row>
    <row r="126" spans="8:9" x14ac:dyDescent="0.25">
      <c r="H126" s="15" t="s">
        <v>26</v>
      </c>
      <c r="I126" s="5">
        <v>12.5</v>
      </c>
    </row>
    <row r="127" spans="8:9" x14ac:dyDescent="0.25">
      <c r="H127" s="14">
        <v>2</v>
      </c>
      <c r="I127" s="5">
        <v>12.449999809270002</v>
      </c>
    </row>
    <row r="128" spans="8:9" x14ac:dyDescent="0.25">
      <c r="H128" s="15" t="s">
        <v>27</v>
      </c>
      <c r="I128" s="5">
        <v>12.44999980927</v>
      </c>
    </row>
    <row r="129" spans="8:9" x14ac:dyDescent="0.25">
      <c r="H129" s="15" t="s">
        <v>28</v>
      </c>
      <c r="I129" s="5">
        <v>12.44999980927</v>
      </c>
    </row>
    <row r="130" spans="8:9" x14ac:dyDescent="0.25">
      <c r="H130" s="15" t="s">
        <v>29</v>
      </c>
      <c r="I130" s="5">
        <v>12.44999980927</v>
      </c>
    </row>
    <row r="131" spans="8:9" x14ac:dyDescent="0.25">
      <c r="H131" s="14">
        <v>3</v>
      </c>
      <c r="I131" s="5">
        <v>12.63000011444</v>
      </c>
    </row>
    <row r="132" spans="8:9" x14ac:dyDescent="0.25">
      <c r="H132" s="15" t="s">
        <v>30</v>
      </c>
      <c r="I132" s="5">
        <v>12.63000011444</v>
      </c>
    </row>
    <row r="133" spans="8:9" x14ac:dyDescent="0.25">
      <c r="H133" s="15" t="s">
        <v>31</v>
      </c>
      <c r="I133" s="5">
        <v>12.63000011444</v>
      </c>
    </row>
    <row r="134" spans="8:9" x14ac:dyDescent="0.25">
      <c r="H134" s="15" t="s">
        <v>32</v>
      </c>
      <c r="I134" s="5">
        <v>12.63000011444</v>
      </c>
    </row>
    <row r="135" spans="8:9" x14ac:dyDescent="0.25">
      <c r="H135" s="14">
        <v>4</v>
      </c>
      <c r="I135" s="5">
        <v>12.68000030518</v>
      </c>
    </row>
    <row r="136" spans="8:9" x14ac:dyDescent="0.25">
      <c r="H136" s="15" t="s">
        <v>33</v>
      </c>
      <c r="I136" s="5">
        <v>12.68000030518</v>
      </c>
    </row>
    <row r="137" spans="8:9" x14ac:dyDescent="0.25">
      <c r="H137" s="15" t="s">
        <v>34</v>
      </c>
      <c r="I137" s="5">
        <v>12.68000030518</v>
      </c>
    </row>
    <row r="138" spans="8:9" x14ac:dyDescent="0.25">
      <c r="H138" s="15" t="s">
        <v>35</v>
      </c>
      <c r="I138" s="5">
        <v>12.68000030518</v>
      </c>
    </row>
    <row r="139" spans="8:9" x14ac:dyDescent="0.25">
      <c r="H139" s="2">
        <v>1978</v>
      </c>
      <c r="I139" s="5">
        <v>12.916666666666666</v>
      </c>
    </row>
    <row r="140" spans="8:9" x14ac:dyDescent="0.25">
      <c r="H140" s="14">
        <v>1</v>
      </c>
      <c r="I140" s="5">
        <v>12.659999847410001</v>
      </c>
    </row>
    <row r="141" spans="8:9" x14ac:dyDescent="0.25">
      <c r="H141" s="15" t="s">
        <v>24</v>
      </c>
      <c r="I141" s="5">
        <v>12.659999847410001</v>
      </c>
    </row>
    <row r="142" spans="8:9" x14ac:dyDescent="0.25">
      <c r="H142" s="15" t="s">
        <v>25</v>
      </c>
      <c r="I142" s="5">
        <v>12.659999847410001</v>
      </c>
    </row>
    <row r="143" spans="8:9" x14ac:dyDescent="0.25">
      <c r="H143" s="15" t="s">
        <v>26</v>
      </c>
      <c r="I143" s="5">
        <v>12.659999847410001</v>
      </c>
    </row>
    <row r="144" spans="8:9" x14ac:dyDescent="0.25">
      <c r="H144" s="14">
        <v>2</v>
      </c>
      <c r="I144" s="5">
        <v>12.703333218896667</v>
      </c>
    </row>
    <row r="145" spans="8:9" x14ac:dyDescent="0.25">
      <c r="H145" s="15" t="s">
        <v>27</v>
      </c>
      <c r="I145" s="5">
        <v>12.68000030518</v>
      </c>
    </row>
    <row r="146" spans="8:9" x14ac:dyDescent="0.25">
      <c r="H146" s="15" t="s">
        <v>28</v>
      </c>
      <c r="I146" s="5">
        <v>12.69999980927</v>
      </c>
    </row>
    <row r="147" spans="8:9" x14ac:dyDescent="0.25">
      <c r="H147" s="15" t="s">
        <v>29</v>
      </c>
      <c r="I147" s="5">
        <v>12.72999954224</v>
      </c>
    </row>
    <row r="148" spans="8:9" x14ac:dyDescent="0.25">
      <c r="H148" s="14">
        <v>3</v>
      </c>
      <c r="I148" s="5">
        <v>12.786666870113331</v>
      </c>
    </row>
    <row r="149" spans="8:9" x14ac:dyDescent="0.25">
      <c r="H149" s="15" t="s">
        <v>30</v>
      </c>
      <c r="I149" s="5">
        <v>12.77000045776</v>
      </c>
    </row>
    <row r="150" spans="8:9" x14ac:dyDescent="0.25">
      <c r="H150" s="15" t="s">
        <v>31</v>
      </c>
      <c r="I150" s="5">
        <v>12.78999996185</v>
      </c>
    </row>
    <row r="151" spans="8:9" x14ac:dyDescent="0.25">
      <c r="H151" s="15" t="s">
        <v>32</v>
      </c>
      <c r="I151" s="5">
        <v>12.80000019073</v>
      </c>
    </row>
    <row r="152" spans="8:9" x14ac:dyDescent="0.25">
      <c r="H152" s="14">
        <v>4</v>
      </c>
      <c r="I152" s="5">
        <v>13.516666730246667</v>
      </c>
    </row>
    <row r="153" spans="8:9" x14ac:dyDescent="0.25">
      <c r="H153" s="15" t="s">
        <v>33</v>
      </c>
      <c r="I153" s="5">
        <v>12.85000038147</v>
      </c>
    </row>
    <row r="154" spans="8:9" x14ac:dyDescent="0.25">
      <c r="H154" s="15" t="s">
        <v>34</v>
      </c>
      <c r="I154" s="5">
        <v>13.19999980927</v>
      </c>
    </row>
    <row r="155" spans="8:9" x14ac:dyDescent="0.25">
      <c r="H155" s="15" t="s">
        <v>35</v>
      </c>
      <c r="I155" s="5">
        <v>14.5</v>
      </c>
    </row>
    <row r="156" spans="8:9" x14ac:dyDescent="0.25">
      <c r="H156" s="2">
        <v>1979</v>
      </c>
      <c r="I156" s="5">
        <v>30.964583277701667</v>
      </c>
    </row>
    <row r="157" spans="8:9" x14ac:dyDescent="0.25">
      <c r="H157" s="14">
        <v>1</v>
      </c>
      <c r="I157" s="5">
        <v>20.074999968209998</v>
      </c>
    </row>
    <row r="158" spans="8:9" x14ac:dyDescent="0.25">
      <c r="H158" s="15" t="s">
        <v>24</v>
      </c>
      <c r="I158" s="5">
        <v>17.4500002861</v>
      </c>
    </row>
    <row r="159" spans="8:9" x14ac:dyDescent="0.25">
      <c r="H159" s="15" t="s">
        <v>25</v>
      </c>
      <c r="I159" s="5">
        <v>20.75</v>
      </c>
    </row>
    <row r="160" spans="8:9" x14ac:dyDescent="0.25">
      <c r="H160" s="15" t="s">
        <v>26</v>
      </c>
      <c r="I160" s="5">
        <v>22.02499961853</v>
      </c>
    </row>
    <row r="161" spans="8:9" x14ac:dyDescent="0.25">
      <c r="H161" s="14">
        <v>2</v>
      </c>
      <c r="I161" s="5">
        <v>30.199999809263335</v>
      </c>
    </row>
    <row r="162" spans="8:9" x14ac:dyDescent="0.25">
      <c r="H162" s="15" t="s">
        <v>27</v>
      </c>
      <c r="I162" s="5">
        <v>22.42500019073</v>
      </c>
    </row>
    <row r="163" spans="8:9" x14ac:dyDescent="0.25">
      <c r="H163" s="15" t="s">
        <v>28</v>
      </c>
      <c r="I163" s="5">
        <v>33.5</v>
      </c>
    </row>
    <row r="164" spans="8:9" x14ac:dyDescent="0.25">
      <c r="H164" s="15" t="s">
        <v>29</v>
      </c>
      <c r="I164" s="5">
        <v>34.67499923706</v>
      </c>
    </row>
    <row r="165" spans="8:9" x14ac:dyDescent="0.25">
      <c r="H165" s="14">
        <v>3</v>
      </c>
      <c r="I165" s="5">
        <v>34.333333333333336</v>
      </c>
    </row>
    <row r="166" spans="8:9" x14ac:dyDescent="0.25">
      <c r="H166" s="15" t="s">
        <v>30</v>
      </c>
      <c r="I166" s="5">
        <v>33.5</v>
      </c>
    </row>
    <row r="167" spans="8:9" x14ac:dyDescent="0.25">
      <c r="H167" s="15" t="s">
        <v>31</v>
      </c>
      <c r="I167" s="5">
        <v>34</v>
      </c>
    </row>
    <row r="168" spans="8:9" x14ac:dyDescent="0.25">
      <c r="H168" s="15" t="s">
        <v>32</v>
      </c>
      <c r="I168" s="5">
        <v>35.5</v>
      </c>
    </row>
    <row r="169" spans="8:9" x14ac:dyDescent="0.25">
      <c r="H169" s="14">
        <v>4</v>
      </c>
      <c r="I169" s="5">
        <v>39.25</v>
      </c>
    </row>
    <row r="170" spans="8:9" x14ac:dyDescent="0.25">
      <c r="H170" s="15" t="s">
        <v>33</v>
      </c>
      <c r="I170" s="5">
        <v>37.25</v>
      </c>
    </row>
    <row r="171" spans="8:9" x14ac:dyDescent="0.25">
      <c r="H171" s="15" t="s">
        <v>34</v>
      </c>
      <c r="I171" s="5">
        <v>40.75</v>
      </c>
    </row>
    <row r="172" spans="8:9" x14ac:dyDescent="0.25">
      <c r="H172" s="15" t="s">
        <v>35</v>
      </c>
      <c r="I172" s="5">
        <v>39.75</v>
      </c>
    </row>
    <row r="173" spans="8:9" x14ac:dyDescent="0.25">
      <c r="H173" s="2">
        <v>1980</v>
      </c>
      <c r="I173" s="5">
        <v>36.868749936421672</v>
      </c>
    </row>
    <row r="174" spans="8:9" x14ac:dyDescent="0.25">
      <c r="H174" s="14">
        <v>1</v>
      </c>
      <c r="I174" s="5">
        <v>37.75</v>
      </c>
    </row>
    <row r="175" spans="8:9" x14ac:dyDescent="0.25">
      <c r="H175" s="15" t="s">
        <v>24</v>
      </c>
      <c r="I175" s="5">
        <v>39</v>
      </c>
    </row>
    <row r="176" spans="8:9" x14ac:dyDescent="0.25">
      <c r="H176" s="15" t="s">
        <v>25</v>
      </c>
      <c r="I176" s="5">
        <v>37.25</v>
      </c>
    </row>
    <row r="177" spans="8:9" x14ac:dyDescent="0.25">
      <c r="H177" s="15" t="s">
        <v>26</v>
      </c>
      <c r="I177" s="5">
        <v>37</v>
      </c>
    </row>
    <row r="178" spans="8:9" x14ac:dyDescent="0.25">
      <c r="H178" s="14">
        <v>2</v>
      </c>
      <c r="I178" s="5">
        <v>36.875</v>
      </c>
    </row>
    <row r="179" spans="8:9" x14ac:dyDescent="0.25">
      <c r="H179" s="15" t="s">
        <v>27</v>
      </c>
      <c r="I179" s="5">
        <v>36.57500076294</v>
      </c>
    </row>
    <row r="180" spans="8:9" x14ac:dyDescent="0.25">
      <c r="H180" s="15" t="s">
        <v>28</v>
      </c>
      <c r="I180" s="5">
        <v>37.04999923706</v>
      </c>
    </row>
    <row r="181" spans="8:9" x14ac:dyDescent="0.25">
      <c r="H181" s="15" t="s">
        <v>29</v>
      </c>
      <c r="I181" s="5">
        <v>37</v>
      </c>
    </row>
    <row r="182" spans="8:9" x14ac:dyDescent="0.25">
      <c r="H182" s="14">
        <v>3</v>
      </c>
      <c r="I182" s="5">
        <v>33.716666539509994</v>
      </c>
    </row>
    <row r="183" spans="8:9" x14ac:dyDescent="0.25">
      <c r="H183" s="15" t="s">
        <v>30</v>
      </c>
      <c r="I183" s="5">
        <v>35.375</v>
      </c>
    </row>
    <row r="184" spans="8:9" x14ac:dyDescent="0.25">
      <c r="H184" s="15" t="s">
        <v>31</v>
      </c>
      <c r="I184" s="5">
        <v>32.949998855590003</v>
      </c>
    </row>
    <row r="185" spans="8:9" x14ac:dyDescent="0.25">
      <c r="H185" s="15" t="s">
        <v>32</v>
      </c>
      <c r="I185" s="5">
        <v>32.82500076294</v>
      </c>
    </row>
    <row r="186" spans="8:9" x14ac:dyDescent="0.25">
      <c r="H186" s="14">
        <v>4</v>
      </c>
      <c r="I186" s="5">
        <v>39.133333206176665</v>
      </c>
    </row>
    <row r="187" spans="8:9" x14ac:dyDescent="0.25">
      <c r="H187" s="15" t="s">
        <v>33</v>
      </c>
      <c r="I187" s="5">
        <v>37.350000381469997</v>
      </c>
    </row>
    <row r="188" spans="8:9" x14ac:dyDescent="0.25">
      <c r="H188" s="15" t="s">
        <v>34</v>
      </c>
      <c r="I188" s="5">
        <v>40.29999923706</v>
      </c>
    </row>
    <row r="189" spans="8:9" x14ac:dyDescent="0.25">
      <c r="H189" s="15" t="s">
        <v>35</v>
      </c>
      <c r="I189" s="5">
        <v>39.75</v>
      </c>
    </row>
    <row r="190" spans="8:9" x14ac:dyDescent="0.25">
      <c r="H190" s="2">
        <v>1981</v>
      </c>
      <c r="I190" s="5">
        <v>35.484999656675832</v>
      </c>
    </row>
    <row r="191" spans="8:9" x14ac:dyDescent="0.25">
      <c r="H191" s="14">
        <v>1</v>
      </c>
      <c r="I191" s="5">
        <v>38.42499923706</v>
      </c>
    </row>
    <row r="192" spans="8:9" x14ac:dyDescent="0.25">
      <c r="H192" s="15" t="s">
        <v>24</v>
      </c>
      <c r="I192" s="5">
        <v>39.774999618530003</v>
      </c>
    </row>
    <row r="193" spans="8:9" x14ac:dyDescent="0.25">
      <c r="H193" s="15" t="s">
        <v>25</v>
      </c>
      <c r="I193" s="5">
        <v>37.899999618530003</v>
      </c>
    </row>
    <row r="194" spans="8:9" x14ac:dyDescent="0.25">
      <c r="H194" s="15" t="s">
        <v>26</v>
      </c>
      <c r="I194" s="5">
        <v>37.59999847412</v>
      </c>
    </row>
    <row r="195" spans="8:9" x14ac:dyDescent="0.25">
      <c r="H195" s="14">
        <v>2</v>
      </c>
      <c r="I195" s="5">
        <v>34.454999287919996</v>
      </c>
    </row>
    <row r="196" spans="8:9" x14ac:dyDescent="0.25">
      <c r="H196" s="15" t="s">
        <v>27</v>
      </c>
      <c r="I196" s="5">
        <v>36.369998931879998</v>
      </c>
    </row>
    <row r="197" spans="8:9" x14ac:dyDescent="0.25">
      <c r="H197" s="15" t="s">
        <v>28</v>
      </c>
      <c r="I197" s="5">
        <v>34.284999847409999</v>
      </c>
    </row>
    <row r="198" spans="8:9" x14ac:dyDescent="0.25">
      <c r="H198" s="15" t="s">
        <v>29</v>
      </c>
      <c r="I198" s="5">
        <v>32.709999084469999</v>
      </c>
    </row>
    <row r="199" spans="8:9" x14ac:dyDescent="0.25">
      <c r="H199" s="14">
        <v>3</v>
      </c>
      <c r="I199" s="5">
        <v>33.82666651407667</v>
      </c>
    </row>
    <row r="200" spans="8:9" x14ac:dyDescent="0.25">
      <c r="H200" s="15" t="s">
        <v>30</v>
      </c>
      <c r="I200" s="5">
        <v>33.510000228880003</v>
      </c>
    </row>
    <row r="201" spans="8:9" x14ac:dyDescent="0.25">
      <c r="H201" s="15" t="s">
        <v>31</v>
      </c>
      <c r="I201" s="5">
        <v>33.984998703000002</v>
      </c>
    </row>
    <row r="202" spans="8:9" x14ac:dyDescent="0.25">
      <c r="H202" s="15" t="s">
        <v>32</v>
      </c>
      <c r="I202" s="5">
        <v>33.985000610349999</v>
      </c>
    </row>
    <row r="203" spans="8:9" x14ac:dyDescent="0.25">
      <c r="H203" s="14">
        <v>4</v>
      </c>
      <c r="I203" s="5">
        <v>35.233333587646662</v>
      </c>
    </row>
    <row r="204" spans="8:9" x14ac:dyDescent="0.25">
      <c r="H204" s="15" t="s">
        <v>33</v>
      </c>
      <c r="I204" s="5">
        <v>34.610000610349999</v>
      </c>
    </row>
    <row r="205" spans="8:9" x14ac:dyDescent="0.25">
      <c r="H205" s="15" t="s">
        <v>34</v>
      </c>
      <c r="I205" s="5">
        <v>35.680000305180002</v>
      </c>
    </row>
    <row r="206" spans="8:9" x14ac:dyDescent="0.25">
      <c r="H206" s="15" t="s">
        <v>35</v>
      </c>
      <c r="I206" s="5">
        <v>35.409999847409999</v>
      </c>
    </row>
    <row r="207" spans="8:9" x14ac:dyDescent="0.25">
      <c r="H207" s="2">
        <v>1982</v>
      </c>
      <c r="I207" s="5">
        <v>32.647222126853336</v>
      </c>
    </row>
    <row r="208" spans="8:9" x14ac:dyDescent="0.25">
      <c r="H208" s="14">
        <v>1</v>
      </c>
      <c r="I208" s="5">
        <v>32.496666505599997</v>
      </c>
    </row>
    <row r="209" spans="8:9" x14ac:dyDescent="0.25">
      <c r="H209" s="15" t="s">
        <v>24</v>
      </c>
      <c r="I209" s="5">
        <v>35.049999491370002</v>
      </c>
    </row>
    <row r="210" spans="8:9" x14ac:dyDescent="0.25">
      <c r="H210" s="15" t="s">
        <v>25</v>
      </c>
      <c r="I210" s="5">
        <v>32.273333485919999</v>
      </c>
    </row>
    <row r="211" spans="8:9" x14ac:dyDescent="0.25">
      <c r="H211" s="15" t="s">
        <v>26</v>
      </c>
      <c r="I211" s="5">
        <v>30.16666653951</v>
      </c>
    </row>
    <row r="212" spans="8:9" x14ac:dyDescent="0.25">
      <c r="H212" s="14">
        <v>2</v>
      </c>
      <c r="I212" s="5">
        <v>32.458888541326665</v>
      </c>
    </row>
    <row r="213" spans="8:9" x14ac:dyDescent="0.25">
      <c r="H213" s="15" t="s">
        <v>27</v>
      </c>
      <c r="I213" s="5">
        <v>31.56666603088</v>
      </c>
    </row>
    <row r="214" spans="8:9" x14ac:dyDescent="0.25">
      <c r="H214" s="15" t="s">
        <v>28</v>
      </c>
      <c r="I214" s="5">
        <v>33.043332926429997</v>
      </c>
    </row>
    <row r="215" spans="8:9" x14ac:dyDescent="0.25">
      <c r="H215" s="15" t="s">
        <v>29</v>
      </c>
      <c r="I215" s="5">
        <v>32.766666666669998</v>
      </c>
    </row>
    <row r="216" spans="8:9" x14ac:dyDescent="0.25">
      <c r="H216" s="14">
        <v>3</v>
      </c>
      <c r="I216" s="5">
        <v>32.933333333330005</v>
      </c>
    </row>
    <row r="217" spans="8:9" x14ac:dyDescent="0.25">
      <c r="H217" s="15" t="s">
        <v>30</v>
      </c>
      <c r="I217" s="5">
        <v>32.916667175290002</v>
      </c>
    </row>
    <row r="218" spans="8:9" x14ac:dyDescent="0.25">
      <c r="H218" s="15" t="s">
        <v>31</v>
      </c>
      <c r="I218" s="5">
        <v>32.416666412349997</v>
      </c>
    </row>
    <row r="219" spans="8:9" x14ac:dyDescent="0.25">
      <c r="H219" s="15" t="s">
        <v>32</v>
      </c>
      <c r="I219" s="5">
        <v>33.466666412350001</v>
      </c>
    </row>
    <row r="220" spans="8:9" x14ac:dyDescent="0.25">
      <c r="H220" s="14">
        <v>4</v>
      </c>
      <c r="I220" s="5">
        <v>32.700000127156663</v>
      </c>
    </row>
    <row r="221" spans="8:9" x14ac:dyDescent="0.25">
      <c r="H221" s="15" t="s">
        <v>33</v>
      </c>
      <c r="I221" s="5">
        <v>33.783333841960001</v>
      </c>
    </row>
    <row r="222" spans="8:9" x14ac:dyDescent="0.25">
      <c r="H222" s="15" t="s">
        <v>34</v>
      </c>
      <c r="I222" s="5">
        <v>32.849999745689999</v>
      </c>
    </row>
    <row r="223" spans="8:9" x14ac:dyDescent="0.25">
      <c r="H223" s="15" t="s">
        <v>35</v>
      </c>
      <c r="I223" s="5">
        <v>31.46666679382</v>
      </c>
    </row>
    <row r="224" spans="8:9" x14ac:dyDescent="0.25">
      <c r="H224" s="2">
        <v>1983</v>
      </c>
      <c r="I224" s="5">
        <v>29.657777839237497</v>
      </c>
    </row>
    <row r="225" spans="8:9" x14ac:dyDescent="0.25">
      <c r="H225" s="14">
        <v>1</v>
      </c>
      <c r="I225" s="5">
        <v>29.362222247656664</v>
      </c>
    </row>
    <row r="226" spans="8:9" x14ac:dyDescent="0.25">
      <c r="H226" s="15" t="s">
        <v>24</v>
      </c>
      <c r="I226" s="5">
        <v>30.653333028159999</v>
      </c>
    </row>
    <row r="227" spans="8:9" x14ac:dyDescent="0.25">
      <c r="H227" s="15" t="s">
        <v>25</v>
      </c>
      <c r="I227" s="5">
        <v>29.113333384200001</v>
      </c>
    </row>
    <row r="228" spans="8:9" x14ac:dyDescent="0.25">
      <c r="H228" s="15" t="s">
        <v>26</v>
      </c>
      <c r="I228" s="5">
        <v>28.32000033061</v>
      </c>
    </row>
    <row r="229" spans="8:9" x14ac:dyDescent="0.25">
      <c r="H229" s="14">
        <v>2</v>
      </c>
      <c r="I229" s="5">
        <v>29.673333485920001</v>
      </c>
    </row>
    <row r="230" spans="8:9" x14ac:dyDescent="0.25">
      <c r="H230" s="15" t="s">
        <v>27</v>
      </c>
      <c r="I230" s="5">
        <v>29.693333307900001</v>
      </c>
    </row>
    <row r="231" spans="8:9" x14ac:dyDescent="0.25">
      <c r="H231" s="15" t="s">
        <v>28</v>
      </c>
      <c r="I231" s="5">
        <v>29.359999974570002</v>
      </c>
    </row>
    <row r="232" spans="8:9" x14ac:dyDescent="0.25">
      <c r="H232" s="15" t="s">
        <v>29</v>
      </c>
      <c r="I232" s="5">
        <v>29.966667175289999</v>
      </c>
    </row>
    <row r="233" spans="8:9" x14ac:dyDescent="0.25">
      <c r="H233" s="14">
        <v>3</v>
      </c>
      <c r="I233" s="5">
        <v>30.396666632760002</v>
      </c>
    </row>
    <row r="234" spans="8:9" x14ac:dyDescent="0.25">
      <c r="H234" s="15" t="s">
        <v>30</v>
      </c>
      <c r="I234" s="5">
        <v>30.466666539510001</v>
      </c>
    </row>
    <row r="235" spans="8:9" x14ac:dyDescent="0.25">
      <c r="H235" s="15" t="s">
        <v>31</v>
      </c>
      <c r="I235" s="5">
        <v>30.653333028159999</v>
      </c>
    </row>
    <row r="236" spans="8:9" x14ac:dyDescent="0.25">
      <c r="H236" s="15" t="s">
        <v>32</v>
      </c>
      <c r="I236" s="5">
        <v>30.07000033061</v>
      </c>
    </row>
    <row r="237" spans="8:9" x14ac:dyDescent="0.25">
      <c r="H237" s="14">
        <v>4</v>
      </c>
      <c r="I237" s="5">
        <v>29.19888899061333</v>
      </c>
    </row>
    <row r="238" spans="8:9" x14ac:dyDescent="0.25">
      <c r="H238" s="15" t="s">
        <v>33</v>
      </c>
      <c r="I238" s="5">
        <v>29.616666793819999</v>
      </c>
    </row>
    <row r="239" spans="8:9" x14ac:dyDescent="0.25">
      <c r="H239" s="15" t="s">
        <v>34</v>
      </c>
      <c r="I239" s="5">
        <v>29.16666666667</v>
      </c>
    </row>
    <row r="240" spans="8:9" x14ac:dyDescent="0.25">
      <c r="H240" s="15" t="s">
        <v>35</v>
      </c>
      <c r="I240" s="5">
        <v>28.813333511349999</v>
      </c>
    </row>
    <row r="241" spans="8:9" x14ac:dyDescent="0.25">
      <c r="H241" s="2">
        <v>1984</v>
      </c>
      <c r="I241" s="5">
        <v>28.557499991521663</v>
      </c>
    </row>
    <row r="242" spans="8:9" x14ac:dyDescent="0.25">
      <c r="H242" s="14">
        <v>1</v>
      </c>
      <c r="I242" s="5">
        <v>29.259999805026666</v>
      </c>
    </row>
    <row r="243" spans="8:9" x14ac:dyDescent="0.25">
      <c r="H243" s="15" t="s">
        <v>24</v>
      </c>
      <c r="I243" s="5">
        <v>29.043333053590001</v>
      </c>
    </row>
    <row r="244" spans="8:9" x14ac:dyDescent="0.25">
      <c r="H244" s="15" t="s">
        <v>25</v>
      </c>
      <c r="I244" s="5">
        <v>29.203332901</v>
      </c>
    </row>
    <row r="245" spans="8:9" x14ac:dyDescent="0.25">
      <c r="H245" s="15" t="s">
        <v>26</v>
      </c>
      <c r="I245" s="5">
        <v>29.533333460489999</v>
      </c>
    </row>
    <row r="246" spans="8:9" x14ac:dyDescent="0.25">
      <c r="H246" s="14">
        <v>2</v>
      </c>
      <c r="I246" s="5">
        <v>29.361111111113331</v>
      </c>
    </row>
    <row r="247" spans="8:9" x14ac:dyDescent="0.25">
      <c r="H247" s="15" t="s">
        <v>27</v>
      </c>
      <c r="I247" s="5">
        <v>29.573332468669999</v>
      </c>
    </row>
    <row r="248" spans="8:9" x14ac:dyDescent="0.25">
      <c r="H248" s="15" t="s">
        <v>28</v>
      </c>
      <c r="I248" s="5">
        <v>29.460000356039998</v>
      </c>
    </row>
    <row r="249" spans="8:9" x14ac:dyDescent="0.25">
      <c r="H249" s="15" t="s">
        <v>29</v>
      </c>
      <c r="I249" s="5">
        <v>29.050000508629999</v>
      </c>
    </row>
    <row r="250" spans="8:9" x14ac:dyDescent="0.25">
      <c r="H250" s="14">
        <v>3</v>
      </c>
      <c r="I250" s="5">
        <v>28.170000076289998</v>
      </c>
    </row>
    <row r="251" spans="8:9" x14ac:dyDescent="0.25">
      <c r="H251" s="15" t="s">
        <v>30</v>
      </c>
      <c r="I251" s="5">
        <v>27.98666699727</v>
      </c>
    </row>
    <row r="252" spans="8:9" x14ac:dyDescent="0.25">
      <c r="H252" s="15" t="s">
        <v>31</v>
      </c>
      <c r="I252" s="5">
        <v>28.170000076289998</v>
      </c>
    </row>
    <row r="253" spans="8:9" x14ac:dyDescent="0.25">
      <c r="H253" s="15" t="s">
        <v>32</v>
      </c>
      <c r="I253" s="5">
        <v>28.353333155310001</v>
      </c>
    </row>
    <row r="254" spans="8:9" x14ac:dyDescent="0.25">
      <c r="H254" s="14">
        <v>4</v>
      </c>
      <c r="I254" s="5">
        <v>27.438888973656663</v>
      </c>
    </row>
    <row r="255" spans="8:9" x14ac:dyDescent="0.25">
      <c r="H255" s="15" t="s">
        <v>33</v>
      </c>
      <c r="I255" s="5">
        <v>27.853333155310001</v>
      </c>
    </row>
    <row r="256" spans="8:9" x14ac:dyDescent="0.25">
      <c r="H256" s="15" t="s">
        <v>34</v>
      </c>
      <c r="I256" s="5">
        <v>27.650000254310001</v>
      </c>
    </row>
    <row r="257" spans="8:9" x14ac:dyDescent="0.25">
      <c r="H257" s="15" t="s">
        <v>35</v>
      </c>
      <c r="I257" s="5">
        <v>26.813333511349999</v>
      </c>
    </row>
    <row r="258" spans="8:9" x14ac:dyDescent="0.25">
      <c r="H258" s="2">
        <v>1985</v>
      </c>
      <c r="I258" s="5">
        <v>27.183333333333337</v>
      </c>
    </row>
    <row r="259" spans="8:9" x14ac:dyDescent="0.25">
      <c r="H259" s="14">
        <v>1</v>
      </c>
      <c r="I259" s="5">
        <v>27.361111111110002</v>
      </c>
    </row>
    <row r="260" spans="8:9" x14ac:dyDescent="0.25">
      <c r="H260" s="15" t="s">
        <v>24</v>
      </c>
      <c r="I260" s="5">
        <v>26.63333333333</v>
      </c>
    </row>
    <row r="261" spans="8:9" x14ac:dyDescent="0.25">
      <c r="H261" s="15" t="s">
        <v>25</v>
      </c>
      <c r="I261" s="5">
        <v>27.6</v>
      </c>
    </row>
    <row r="262" spans="8:9" x14ac:dyDescent="0.25">
      <c r="H262" s="15" t="s">
        <v>26</v>
      </c>
      <c r="I262" s="5">
        <v>27.85</v>
      </c>
    </row>
    <row r="263" spans="8:9" x14ac:dyDescent="0.25">
      <c r="H263" s="14">
        <v>2</v>
      </c>
      <c r="I263" s="5">
        <v>26.938888888890002</v>
      </c>
    </row>
    <row r="264" spans="8:9" x14ac:dyDescent="0.25">
      <c r="H264" s="15" t="s">
        <v>27</v>
      </c>
      <c r="I264" s="5">
        <v>27.8</v>
      </c>
    </row>
    <row r="265" spans="8:9" x14ac:dyDescent="0.25">
      <c r="H265" s="15" t="s">
        <v>28</v>
      </c>
      <c r="I265" s="5">
        <v>26.65</v>
      </c>
    </row>
    <row r="266" spans="8:9" x14ac:dyDescent="0.25">
      <c r="H266" s="15" t="s">
        <v>29</v>
      </c>
      <c r="I266" s="5">
        <v>26.36666666667</v>
      </c>
    </row>
    <row r="267" spans="8:9" x14ac:dyDescent="0.25">
      <c r="H267" s="14">
        <v>3</v>
      </c>
      <c r="I267" s="5">
        <v>26.794444444443332</v>
      </c>
    </row>
    <row r="268" spans="8:9" x14ac:dyDescent="0.25">
      <c r="H268" s="15" t="s">
        <v>30</v>
      </c>
      <c r="I268" s="5">
        <v>26.38333333333</v>
      </c>
    </row>
    <row r="269" spans="8:9" x14ac:dyDescent="0.25">
      <c r="H269" s="15" t="s">
        <v>31</v>
      </c>
      <c r="I269" s="5">
        <v>27.016666666670002</v>
      </c>
    </row>
    <row r="270" spans="8:9" x14ac:dyDescent="0.25">
      <c r="H270" s="15" t="s">
        <v>32</v>
      </c>
      <c r="I270" s="5">
        <v>26.983333333329998</v>
      </c>
    </row>
    <row r="271" spans="8:9" x14ac:dyDescent="0.25">
      <c r="H271" s="14">
        <v>4</v>
      </c>
      <c r="I271" s="5">
        <v>27.638888888889998</v>
      </c>
    </row>
    <row r="272" spans="8:9" x14ac:dyDescent="0.25">
      <c r="H272" s="15" t="s">
        <v>33</v>
      </c>
      <c r="I272" s="5">
        <v>27.816666666669999</v>
      </c>
    </row>
    <row r="273" spans="8:9" x14ac:dyDescent="0.25">
      <c r="H273" s="15" t="s">
        <v>34</v>
      </c>
      <c r="I273" s="5">
        <v>28.6</v>
      </c>
    </row>
    <row r="274" spans="8:9" x14ac:dyDescent="0.25">
      <c r="H274" s="15" t="s">
        <v>35</v>
      </c>
      <c r="I274" s="5">
        <v>26.5</v>
      </c>
    </row>
    <row r="275" spans="8:9" x14ac:dyDescent="0.25">
      <c r="H275" s="2">
        <v>1986</v>
      </c>
      <c r="I275" s="5">
        <v>14.35</v>
      </c>
    </row>
    <row r="276" spans="8:9" x14ac:dyDescent="0.25">
      <c r="H276" s="14">
        <v>1</v>
      </c>
      <c r="I276" s="5">
        <v>17.75</v>
      </c>
    </row>
    <row r="277" spans="8:9" x14ac:dyDescent="0.25">
      <c r="H277" s="15" t="s">
        <v>24</v>
      </c>
      <c r="I277" s="5">
        <v>24.683333333330001</v>
      </c>
    </row>
    <row r="278" spans="8:9" x14ac:dyDescent="0.25">
      <c r="H278" s="15" t="s">
        <v>25</v>
      </c>
      <c r="I278" s="5">
        <v>15.91666666667</v>
      </c>
    </row>
    <row r="279" spans="8:9" x14ac:dyDescent="0.25">
      <c r="H279" s="15" t="s">
        <v>26</v>
      </c>
      <c r="I279" s="5">
        <v>12.65</v>
      </c>
    </row>
    <row r="280" spans="8:9" x14ac:dyDescent="0.25">
      <c r="H280" s="14">
        <v>2</v>
      </c>
      <c r="I280" s="5">
        <v>12.488888888890001</v>
      </c>
    </row>
    <row r="281" spans="8:9" x14ac:dyDescent="0.25">
      <c r="H281" s="15" t="s">
        <v>27</v>
      </c>
      <c r="I281" s="5">
        <v>11.9</v>
      </c>
    </row>
    <row r="282" spans="8:9" x14ac:dyDescent="0.25">
      <c r="H282" s="15" t="s">
        <v>28</v>
      </c>
      <c r="I282" s="5">
        <v>13.716666666669999</v>
      </c>
    </row>
    <row r="283" spans="8:9" x14ac:dyDescent="0.25">
      <c r="H283" s="15" t="s">
        <v>29</v>
      </c>
      <c r="I283" s="5">
        <v>11.85</v>
      </c>
    </row>
    <row r="284" spans="8:9" x14ac:dyDescent="0.25">
      <c r="H284" s="14">
        <v>3</v>
      </c>
      <c r="I284" s="5">
        <v>12.466666666666667</v>
      </c>
    </row>
    <row r="285" spans="8:9" x14ac:dyDescent="0.25">
      <c r="H285" s="15" t="s">
        <v>30</v>
      </c>
      <c r="I285" s="5">
        <v>9.6166666666699996</v>
      </c>
    </row>
    <row r="286" spans="8:9" x14ac:dyDescent="0.25">
      <c r="H286" s="15" t="s">
        <v>31</v>
      </c>
      <c r="I286" s="5">
        <v>13.7</v>
      </c>
    </row>
    <row r="287" spans="8:9" x14ac:dyDescent="0.25">
      <c r="H287" s="15" t="s">
        <v>32</v>
      </c>
      <c r="I287" s="5">
        <v>14.08333333333</v>
      </c>
    </row>
    <row r="288" spans="8:9" x14ac:dyDescent="0.25">
      <c r="H288" s="14">
        <v>4</v>
      </c>
      <c r="I288" s="5">
        <v>14.694444444443333</v>
      </c>
    </row>
    <row r="289" spans="8:9" x14ac:dyDescent="0.25">
      <c r="H289" s="15" t="s">
        <v>33</v>
      </c>
      <c r="I289" s="5">
        <v>13.95</v>
      </c>
    </row>
    <row r="290" spans="8:9" x14ac:dyDescent="0.25">
      <c r="H290" s="15" t="s">
        <v>34</v>
      </c>
      <c r="I290" s="5">
        <v>14.45</v>
      </c>
    </row>
    <row r="291" spans="8:9" x14ac:dyDescent="0.25">
      <c r="H291" s="15" t="s">
        <v>35</v>
      </c>
      <c r="I291" s="5">
        <v>15.683333333329999</v>
      </c>
    </row>
    <row r="292" spans="8:9" x14ac:dyDescent="0.25">
      <c r="H292" s="2">
        <v>1987</v>
      </c>
      <c r="I292" s="5">
        <v>18.145833333334163</v>
      </c>
    </row>
    <row r="293" spans="8:9" x14ac:dyDescent="0.25">
      <c r="H293" s="14">
        <v>1</v>
      </c>
      <c r="I293" s="5">
        <v>17.688888888890002</v>
      </c>
    </row>
    <row r="294" spans="8:9" x14ac:dyDescent="0.25">
      <c r="H294" s="15" t="s">
        <v>24</v>
      </c>
      <c r="I294" s="5">
        <v>18.066666666669999</v>
      </c>
    </row>
    <row r="295" spans="8:9" x14ac:dyDescent="0.25">
      <c r="H295" s="15" t="s">
        <v>25</v>
      </c>
      <c r="I295" s="5">
        <v>17.25</v>
      </c>
    </row>
    <row r="296" spans="8:9" x14ac:dyDescent="0.25">
      <c r="H296" s="15" t="s">
        <v>26</v>
      </c>
      <c r="I296" s="5">
        <v>17.75</v>
      </c>
    </row>
    <row r="297" spans="8:9" x14ac:dyDescent="0.25">
      <c r="H297" s="14">
        <v>2</v>
      </c>
      <c r="I297" s="5">
        <v>18.338888888890001</v>
      </c>
    </row>
    <row r="298" spans="8:9" x14ac:dyDescent="0.25">
      <c r="H298" s="15" t="s">
        <v>27</v>
      </c>
      <c r="I298" s="5">
        <v>17.899999999999999</v>
      </c>
    </row>
    <row r="299" spans="8:9" x14ac:dyDescent="0.25">
      <c r="H299" s="15" t="s">
        <v>28</v>
      </c>
      <c r="I299" s="5">
        <v>18.399999999999999</v>
      </c>
    </row>
    <row r="300" spans="8:9" x14ac:dyDescent="0.25">
      <c r="H300" s="15" t="s">
        <v>29</v>
      </c>
      <c r="I300" s="5">
        <v>18.716666666670001</v>
      </c>
    </row>
    <row r="301" spans="8:9" x14ac:dyDescent="0.25">
      <c r="H301" s="14">
        <v>3</v>
      </c>
      <c r="I301" s="5">
        <v>18.905555555556667</v>
      </c>
    </row>
    <row r="302" spans="8:9" x14ac:dyDescent="0.25">
      <c r="H302" s="15" t="s">
        <v>30</v>
      </c>
      <c r="I302" s="5">
        <v>19.61666666667</v>
      </c>
    </row>
    <row r="303" spans="8:9" x14ac:dyDescent="0.25">
      <c r="H303" s="15" t="s">
        <v>31</v>
      </c>
      <c r="I303" s="5">
        <v>18.816666666669999</v>
      </c>
    </row>
    <row r="304" spans="8:9" x14ac:dyDescent="0.25">
      <c r="H304" s="15" t="s">
        <v>32</v>
      </c>
      <c r="I304" s="5">
        <v>18.283333333329999</v>
      </c>
    </row>
    <row r="305" spans="8:9" x14ac:dyDescent="0.25">
      <c r="H305" s="14">
        <v>4</v>
      </c>
      <c r="I305" s="5">
        <v>17.650000000000002</v>
      </c>
    </row>
    <row r="306" spans="8:9" x14ac:dyDescent="0.25">
      <c r="H306" s="15" t="s">
        <v>33</v>
      </c>
      <c r="I306" s="5">
        <v>18.566666666669999</v>
      </c>
    </row>
    <row r="307" spans="8:9" x14ac:dyDescent="0.25">
      <c r="H307" s="15" t="s">
        <v>34</v>
      </c>
      <c r="I307" s="5">
        <v>17.75</v>
      </c>
    </row>
    <row r="308" spans="8:9" x14ac:dyDescent="0.25">
      <c r="H308" s="15" t="s">
        <v>35</v>
      </c>
      <c r="I308" s="5">
        <v>16.63333333333</v>
      </c>
    </row>
    <row r="309" spans="8:9" x14ac:dyDescent="0.25">
      <c r="H309" s="2">
        <v>1988</v>
      </c>
      <c r="I309" s="5">
        <v>14.718055555555003</v>
      </c>
    </row>
    <row r="310" spans="8:9" x14ac:dyDescent="0.25">
      <c r="H310" s="14">
        <v>1</v>
      </c>
      <c r="I310" s="5">
        <v>15.700000000000001</v>
      </c>
    </row>
    <row r="311" spans="8:9" x14ac:dyDescent="0.25">
      <c r="H311" s="15" t="s">
        <v>24</v>
      </c>
      <c r="I311" s="5">
        <v>16.466666666670001</v>
      </c>
    </row>
    <row r="312" spans="8:9" x14ac:dyDescent="0.25">
      <c r="H312" s="15" t="s">
        <v>25</v>
      </c>
      <c r="I312" s="5">
        <v>15.85</v>
      </c>
    </row>
    <row r="313" spans="8:9" x14ac:dyDescent="0.25">
      <c r="H313" s="15" t="s">
        <v>26</v>
      </c>
      <c r="I313" s="5">
        <v>14.783333333330001</v>
      </c>
    </row>
    <row r="314" spans="8:9" x14ac:dyDescent="0.25">
      <c r="H314" s="14">
        <v>2</v>
      </c>
      <c r="I314" s="5">
        <v>16.005555555556668</v>
      </c>
    </row>
    <row r="315" spans="8:9" x14ac:dyDescent="0.25">
      <c r="H315" s="15" t="s">
        <v>27</v>
      </c>
      <c r="I315" s="5">
        <v>16.466666666670001</v>
      </c>
    </row>
    <row r="316" spans="8:9" x14ac:dyDescent="0.25">
      <c r="H316" s="15" t="s">
        <v>28</v>
      </c>
      <c r="I316" s="5">
        <v>16.216666666670001</v>
      </c>
    </row>
    <row r="317" spans="8:9" x14ac:dyDescent="0.25">
      <c r="H317" s="15" t="s">
        <v>29</v>
      </c>
      <c r="I317" s="5">
        <v>15.33333333333</v>
      </c>
    </row>
    <row r="318" spans="8:9" x14ac:dyDescent="0.25">
      <c r="H318" s="14">
        <v>3</v>
      </c>
      <c r="I318" s="5">
        <v>14.044444444443334</v>
      </c>
    </row>
    <row r="319" spans="8:9" x14ac:dyDescent="0.25">
      <c r="H319" s="15" t="s">
        <v>30</v>
      </c>
      <c r="I319" s="5">
        <v>14.48333333333</v>
      </c>
    </row>
    <row r="320" spans="8:9" x14ac:dyDescent="0.25">
      <c r="H320" s="15" t="s">
        <v>31</v>
      </c>
      <c r="I320" s="5">
        <v>14.55</v>
      </c>
    </row>
    <row r="321" spans="8:9" x14ac:dyDescent="0.25">
      <c r="H321" s="15" t="s">
        <v>32</v>
      </c>
      <c r="I321" s="5">
        <v>13.1</v>
      </c>
    </row>
    <row r="322" spans="8:9" x14ac:dyDescent="0.25">
      <c r="H322" s="14">
        <v>4</v>
      </c>
      <c r="I322" s="5">
        <v>13.122222222220001</v>
      </c>
    </row>
    <row r="323" spans="8:9" x14ac:dyDescent="0.25">
      <c r="H323" s="15" t="s">
        <v>33</v>
      </c>
      <c r="I323" s="5">
        <v>12.183333333329999</v>
      </c>
    </row>
    <row r="324" spans="8:9" x14ac:dyDescent="0.25">
      <c r="H324" s="15" t="s">
        <v>34</v>
      </c>
      <c r="I324" s="5">
        <v>12.533333333330001</v>
      </c>
    </row>
    <row r="325" spans="8:9" x14ac:dyDescent="0.25">
      <c r="H325" s="15" t="s">
        <v>35</v>
      </c>
      <c r="I325" s="5">
        <v>14.65</v>
      </c>
    </row>
    <row r="326" spans="8:9" x14ac:dyDescent="0.25">
      <c r="H326" s="2">
        <v>1989</v>
      </c>
      <c r="I326" s="5">
        <v>17.838888888889169</v>
      </c>
    </row>
    <row r="327" spans="8:9" x14ac:dyDescent="0.25">
      <c r="H327" s="14">
        <v>1</v>
      </c>
      <c r="I327" s="5">
        <v>16.955555555553335</v>
      </c>
    </row>
    <row r="328" spans="8:9" x14ac:dyDescent="0.25">
      <c r="H328" s="15" t="s">
        <v>24</v>
      </c>
      <c r="I328" s="5">
        <v>16.483333333329998</v>
      </c>
    </row>
    <row r="329" spans="8:9" x14ac:dyDescent="0.25">
      <c r="H329" s="15" t="s">
        <v>25</v>
      </c>
      <c r="I329" s="5">
        <v>16.350000000000001</v>
      </c>
    </row>
    <row r="330" spans="8:9" x14ac:dyDescent="0.25">
      <c r="H330" s="15" t="s">
        <v>26</v>
      </c>
      <c r="I330" s="5">
        <v>18.033333333329999</v>
      </c>
    </row>
    <row r="331" spans="8:9" x14ac:dyDescent="0.25">
      <c r="H331" s="14">
        <v>2</v>
      </c>
      <c r="I331" s="5">
        <v>18.283333333333335</v>
      </c>
    </row>
    <row r="332" spans="8:9" x14ac:dyDescent="0.25">
      <c r="H332" s="15" t="s">
        <v>27</v>
      </c>
      <c r="I332" s="5">
        <v>19.2</v>
      </c>
    </row>
    <row r="333" spans="8:9" x14ac:dyDescent="0.25">
      <c r="H333" s="15" t="s">
        <v>28</v>
      </c>
      <c r="I333" s="5">
        <v>18.016666666670002</v>
      </c>
    </row>
    <row r="334" spans="8:9" x14ac:dyDescent="0.25">
      <c r="H334" s="15" t="s">
        <v>29</v>
      </c>
      <c r="I334" s="5">
        <v>17.63333333333</v>
      </c>
    </row>
    <row r="335" spans="8:9" x14ac:dyDescent="0.25">
      <c r="H335" s="14">
        <v>3</v>
      </c>
      <c r="I335" s="5">
        <v>17.405555555556663</v>
      </c>
    </row>
    <row r="336" spans="8:9" x14ac:dyDescent="0.25">
      <c r="H336" s="15" t="s">
        <v>30</v>
      </c>
      <c r="I336" s="5">
        <v>17.66666666667</v>
      </c>
    </row>
    <row r="337" spans="8:9" x14ac:dyDescent="0.25">
      <c r="H337" s="15" t="s">
        <v>31</v>
      </c>
      <c r="I337" s="5">
        <v>16.88333333333</v>
      </c>
    </row>
    <row r="338" spans="8:9" x14ac:dyDescent="0.25">
      <c r="H338" s="15" t="s">
        <v>32</v>
      </c>
      <c r="I338" s="5">
        <v>17.66666666667</v>
      </c>
    </row>
    <row r="339" spans="8:9" x14ac:dyDescent="0.25">
      <c r="H339" s="14">
        <v>4</v>
      </c>
      <c r="I339" s="5">
        <v>18.711111111113333</v>
      </c>
    </row>
    <row r="340" spans="8:9" x14ac:dyDescent="0.25">
      <c r="H340" s="15" t="s">
        <v>33</v>
      </c>
      <c r="I340" s="5">
        <v>18.41666666667</v>
      </c>
    </row>
    <row r="341" spans="8:9" x14ac:dyDescent="0.25">
      <c r="H341" s="15" t="s">
        <v>34</v>
      </c>
      <c r="I341" s="5">
        <v>18.36666666667</v>
      </c>
    </row>
    <row r="342" spans="8:9" x14ac:dyDescent="0.25">
      <c r="H342" s="15" t="s">
        <v>35</v>
      </c>
      <c r="I342" s="5">
        <v>19.350000000000001</v>
      </c>
    </row>
    <row r="343" spans="8:9" x14ac:dyDescent="0.25">
      <c r="H343" s="2">
        <v>1990</v>
      </c>
      <c r="I343" s="5">
        <v>22.879166666666666</v>
      </c>
    </row>
    <row r="344" spans="8:9" x14ac:dyDescent="0.25">
      <c r="H344" s="14">
        <v>1</v>
      </c>
      <c r="I344" s="5">
        <v>19.388888888890001</v>
      </c>
    </row>
    <row r="345" spans="8:9" x14ac:dyDescent="0.25">
      <c r="H345" s="15" t="s">
        <v>24</v>
      </c>
      <c r="I345" s="5">
        <v>20.350000000000001</v>
      </c>
    </row>
    <row r="346" spans="8:9" x14ac:dyDescent="0.25">
      <c r="H346" s="15" t="s">
        <v>25</v>
      </c>
      <c r="I346" s="5">
        <v>19.600000000000001</v>
      </c>
    </row>
    <row r="347" spans="8:9" x14ac:dyDescent="0.25">
      <c r="H347" s="15" t="s">
        <v>26</v>
      </c>
      <c r="I347" s="5">
        <v>18.216666666670001</v>
      </c>
    </row>
    <row r="348" spans="8:9" x14ac:dyDescent="0.25">
      <c r="H348" s="14">
        <v>2</v>
      </c>
      <c r="I348" s="5">
        <v>16.133333333333333</v>
      </c>
    </row>
    <row r="349" spans="8:9" x14ac:dyDescent="0.25">
      <c r="H349" s="15" t="s">
        <v>27</v>
      </c>
      <c r="I349" s="5">
        <v>16.55</v>
      </c>
    </row>
    <row r="350" spans="8:9" x14ac:dyDescent="0.25">
      <c r="H350" s="15" t="s">
        <v>28</v>
      </c>
      <c r="I350" s="5">
        <v>16.58333333333</v>
      </c>
    </row>
    <row r="351" spans="8:9" x14ac:dyDescent="0.25">
      <c r="H351" s="15" t="s">
        <v>29</v>
      </c>
      <c r="I351" s="5">
        <v>15.26666666667</v>
      </c>
    </row>
    <row r="352" spans="8:9" x14ac:dyDescent="0.25">
      <c r="H352" s="14">
        <v>3</v>
      </c>
      <c r="I352" s="5">
        <v>25.422222222223336</v>
      </c>
    </row>
    <row r="353" spans="8:9" x14ac:dyDescent="0.25">
      <c r="H353" s="15" t="s">
        <v>30</v>
      </c>
      <c r="I353" s="5">
        <v>17.16666666667</v>
      </c>
    </row>
    <row r="354" spans="8:9" x14ac:dyDescent="0.25">
      <c r="H354" s="15" t="s">
        <v>31</v>
      </c>
      <c r="I354" s="5">
        <v>26.4</v>
      </c>
    </row>
    <row r="355" spans="8:9" x14ac:dyDescent="0.25">
      <c r="H355" s="15" t="s">
        <v>32</v>
      </c>
      <c r="I355" s="5">
        <v>32.700000000000003</v>
      </c>
    </row>
    <row r="356" spans="8:9" x14ac:dyDescent="0.25">
      <c r="H356" s="14">
        <v>4</v>
      </c>
      <c r="I356" s="5">
        <v>30.572222222220002</v>
      </c>
    </row>
    <row r="357" spans="8:9" x14ac:dyDescent="0.25">
      <c r="H357" s="15" t="s">
        <v>33</v>
      </c>
      <c r="I357" s="5">
        <v>34.5</v>
      </c>
    </row>
    <row r="358" spans="8:9" x14ac:dyDescent="0.25">
      <c r="H358" s="15" t="s">
        <v>34</v>
      </c>
      <c r="I358" s="5">
        <v>31.08333333333</v>
      </c>
    </row>
    <row r="359" spans="8:9" x14ac:dyDescent="0.25">
      <c r="H359" s="15" t="s">
        <v>35</v>
      </c>
      <c r="I359" s="5">
        <v>26.13333333333</v>
      </c>
    </row>
    <row r="360" spans="8:9" x14ac:dyDescent="0.25">
      <c r="H360" s="2">
        <v>1991</v>
      </c>
      <c r="I360" s="5">
        <v>19.370833333334168</v>
      </c>
    </row>
    <row r="361" spans="8:9" x14ac:dyDescent="0.25">
      <c r="H361" s="14">
        <v>1</v>
      </c>
      <c r="I361" s="5">
        <v>19.594444444443337</v>
      </c>
    </row>
    <row r="362" spans="8:9" x14ac:dyDescent="0.25">
      <c r="H362" s="15" t="s">
        <v>24</v>
      </c>
      <c r="I362" s="5">
        <v>22.58333333333</v>
      </c>
    </row>
    <row r="363" spans="8:9" x14ac:dyDescent="0.25">
      <c r="H363" s="15" t="s">
        <v>25</v>
      </c>
      <c r="I363" s="5">
        <v>18.13333333333</v>
      </c>
    </row>
    <row r="364" spans="8:9" x14ac:dyDescent="0.25">
      <c r="H364" s="15" t="s">
        <v>26</v>
      </c>
      <c r="I364" s="5">
        <v>18.066666666669999</v>
      </c>
    </row>
    <row r="365" spans="8:9" x14ac:dyDescent="0.25">
      <c r="H365" s="14">
        <v>2</v>
      </c>
      <c r="I365" s="5">
        <v>18.405555555556663</v>
      </c>
    </row>
    <row r="366" spans="8:9" x14ac:dyDescent="0.25">
      <c r="H366" s="15" t="s">
        <v>27</v>
      </c>
      <c r="I366" s="5">
        <v>18.466666666670001</v>
      </c>
    </row>
    <row r="367" spans="8:9" x14ac:dyDescent="0.25">
      <c r="H367" s="15" t="s">
        <v>28</v>
      </c>
      <c r="I367" s="5">
        <v>18.816666666669999</v>
      </c>
    </row>
    <row r="368" spans="8:9" x14ac:dyDescent="0.25">
      <c r="H368" s="15" t="s">
        <v>29</v>
      </c>
      <c r="I368" s="5">
        <v>17.933333333330001</v>
      </c>
    </row>
    <row r="369" spans="8:9" x14ac:dyDescent="0.25">
      <c r="H369" s="14">
        <v>3</v>
      </c>
      <c r="I369" s="5">
        <v>19.488888888889999</v>
      </c>
    </row>
    <row r="370" spans="8:9" x14ac:dyDescent="0.25">
      <c r="H370" s="15" t="s">
        <v>30</v>
      </c>
      <c r="I370" s="5">
        <v>19.05</v>
      </c>
    </row>
    <row r="371" spans="8:9" x14ac:dyDescent="0.25">
      <c r="H371" s="15" t="s">
        <v>31</v>
      </c>
      <c r="I371" s="5">
        <v>19.36666666667</v>
      </c>
    </row>
    <row r="372" spans="8:9" x14ac:dyDescent="0.25">
      <c r="H372" s="15" t="s">
        <v>32</v>
      </c>
      <c r="I372" s="5">
        <v>20.05</v>
      </c>
    </row>
    <row r="373" spans="8:9" x14ac:dyDescent="0.25">
      <c r="H373" s="14">
        <v>4</v>
      </c>
      <c r="I373" s="5">
        <v>19.994444444446668</v>
      </c>
    </row>
    <row r="374" spans="8:9" x14ac:dyDescent="0.25">
      <c r="H374" s="15" t="s">
        <v>33</v>
      </c>
      <c r="I374" s="5">
        <v>21.466666666670001</v>
      </c>
    </row>
    <row r="375" spans="8:9" x14ac:dyDescent="0.25">
      <c r="H375" s="15" t="s">
        <v>34</v>
      </c>
      <c r="I375" s="5">
        <v>20.766666666670002</v>
      </c>
    </row>
    <row r="376" spans="8:9" x14ac:dyDescent="0.25">
      <c r="H376" s="15" t="s">
        <v>35</v>
      </c>
      <c r="I376" s="5">
        <v>17.75</v>
      </c>
    </row>
    <row r="377" spans="8:9" x14ac:dyDescent="0.25">
      <c r="H377" s="2">
        <v>1992</v>
      </c>
      <c r="I377" s="5">
        <v>19.020833333332501</v>
      </c>
    </row>
    <row r="378" spans="8:9" x14ac:dyDescent="0.25">
      <c r="H378" s="14">
        <v>1</v>
      </c>
      <c r="I378" s="5">
        <v>17.483333333333334</v>
      </c>
    </row>
    <row r="379" spans="8:9" x14ac:dyDescent="0.25">
      <c r="H379" s="15" t="s">
        <v>24</v>
      </c>
      <c r="I379" s="5">
        <v>17.38333333333</v>
      </c>
    </row>
    <row r="380" spans="8:9" x14ac:dyDescent="0.25">
      <c r="H380" s="15" t="s">
        <v>25</v>
      </c>
      <c r="I380" s="5">
        <v>17.61666666667</v>
      </c>
    </row>
    <row r="381" spans="8:9" x14ac:dyDescent="0.25">
      <c r="H381" s="15" t="s">
        <v>26</v>
      </c>
      <c r="I381" s="5">
        <v>17.45</v>
      </c>
    </row>
    <row r="382" spans="8:9" x14ac:dyDescent="0.25">
      <c r="H382" s="14">
        <v>2</v>
      </c>
      <c r="I382" s="5">
        <v>19.655555555553335</v>
      </c>
    </row>
    <row r="383" spans="8:9" x14ac:dyDescent="0.25">
      <c r="H383" s="15" t="s">
        <v>27</v>
      </c>
      <c r="I383" s="5">
        <v>18.63333333333</v>
      </c>
    </row>
    <row r="384" spans="8:9" x14ac:dyDescent="0.25">
      <c r="H384" s="15" t="s">
        <v>28</v>
      </c>
      <c r="I384" s="5">
        <v>19.5</v>
      </c>
    </row>
    <row r="385" spans="8:9" x14ac:dyDescent="0.25">
      <c r="H385" s="15" t="s">
        <v>29</v>
      </c>
      <c r="I385" s="5">
        <v>20.83333333333</v>
      </c>
    </row>
    <row r="386" spans="8:9" x14ac:dyDescent="0.25">
      <c r="H386" s="14">
        <v>3</v>
      </c>
      <c r="I386" s="5">
        <v>19.977777777779998</v>
      </c>
    </row>
    <row r="387" spans="8:9" x14ac:dyDescent="0.25">
      <c r="H387" s="15" t="s">
        <v>30</v>
      </c>
      <c r="I387" s="5">
        <v>20.16666666667</v>
      </c>
    </row>
    <row r="388" spans="8:9" x14ac:dyDescent="0.25">
      <c r="H388" s="15" t="s">
        <v>31</v>
      </c>
      <c r="I388" s="5">
        <v>19.61666666667</v>
      </c>
    </row>
    <row r="389" spans="8:9" x14ac:dyDescent="0.25">
      <c r="H389" s="15" t="s">
        <v>32</v>
      </c>
      <c r="I389" s="5">
        <v>20.149999999999999</v>
      </c>
    </row>
    <row r="390" spans="8:9" x14ac:dyDescent="0.25">
      <c r="H390" s="14">
        <v>4</v>
      </c>
      <c r="I390" s="5">
        <v>18.966666666663333</v>
      </c>
    </row>
    <row r="391" spans="8:9" x14ac:dyDescent="0.25">
      <c r="H391" s="15" t="s">
        <v>33</v>
      </c>
      <c r="I391" s="5">
        <v>20.08333333333</v>
      </c>
    </row>
    <row r="392" spans="8:9" x14ac:dyDescent="0.25">
      <c r="H392" s="15" t="s">
        <v>34</v>
      </c>
      <c r="I392" s="5">
        <v>18.88333333333</v>
      </c>
    </row>
    <row r="393" spans="8:9" x14ac:dyDescent="0.25">
      <c r="H393" s="15" t="s">
        <v>35</v>
      </c>
      <c r="I393" s="5">
        <v>17.933333333330001</v>
      </c>
    </row>
    <row r="394" spans="8:9" x14ac:dyDescent="0.25">
      <c r="H394" s="2">
        <v>1993</v>
      </c>
      <c r="I394" s="5">
        <v>16.841666666668335</v>
      </c>
    </row>
    <row r="395" spans="8:9" x14ac:dyDescent="0.25">
      <c r="H395" s="14">
        <v>1</v>
      </c>
      <c r="I395" s="5">
        <v>17.950000000003335</v>
      </c>
    </row>
    <row r="396" spans="8:9" x14ac:dyDescent="0.25">
      <c r="H396" s="15" t="s">
        <v>24</v>
      </c>
      <c r="I396" s="5">
        <v>17.216666666670001</v>
      </c>
    </row>
    <row r="397" spans="8:9" x14ac:dyDescent="0.25">
      <c r="H397" s="15" t="s">
        <v>25</v>
      </c>
      <c r="I397" s="5">
        <v>18.16666666667</v>
      </c>
    </row>
    <row r="398" spans="8:9" x14ac:dyDescent="0.25">
      <c r="H398" s="15" t="s">
        <v>26</v>
      </c>
      <c r="I398" s="5">
        <v>18.466666666670001</v>
      </c>
    </row>
    <row r="399" spans="8:9" x14ac:dyDescent="0.25">
      <c r="H399" s="14">
        <v>2</v>
      </c>
      <c r="I399" s="5">
        <v>18.022222222223334</v>
      </c>
    </row>
    <row r="400" spans="8:9" x14ac:dyDescent="0.25">
      <c r="H400" s="15" t="s">
        <v>27</v>
      </c>
      <c r="I400" s="5">
        <v>18.433333333330001</v>
      </c>
    </row>
    <row r="401" spans="8:9" x14ac:dyDescent="0.25">
      <c r="H401" s="15" t="s">
        <v>28</v>
      </c>
      <c r="I401" s="5">
        <v>18.16666666667</v>
      </c>
    </row>
    <row r="402" spans="8:9" x14ac:dyDescent="0.25">
      <c r="H402" s="15" t="s">
        <v>29</v>
      </c>
      <c r="I402" s="5">
        <v>17.466666666670001</v>
      </c>
    </row>
    <row r="403" spans="8:9" x14ac:dyDescent="0.25">
      <c r="H403" s="14">
        <v>3</v>
      </c>
      <c r="I403" s="5">
        <v>16.233333333333331</v>
      </c>
    </row>
    <row r="404" spans="8:9" x14ac:dyDescent="0.25">
      <c r="H404" s="15" t="s">
        <v>30</v>
      </c>
      <c r="I404" s="5">
        <v>16.316666666669999</v>
      </c>
    </row>
    <row r="405" spans="8:9" x14ac:dyDescent="0.25">
      <c r="H405" s="15" t="s">
        <v>31</v>
      </c>
      <c r="I405" s="5">
        <v>16.483333333329998</v>
      </c>
    </row>
    <row r="406" spans="8:9" x14ac:dyDescent="0.25">
      <c r="H406" s="15" t="s">
        <v>32</v>
      </c>
      <c r="I406" s="5">
        <v>15.9</v>
      </c>
    </row>
    <row r="407" spans="8:9" x14ac:dyDescent="0.25">
      <c r="H407" s="14">
        <v>4</v>
      </c>
      <c r="I407" s="5">
        <v>15.161111111113334</v>
      </c>
    </row>
    <row r="408" spans="8:9" x14ac:dyDescent="0.25">
      <c r="H408" s="15" t="s">
        <v>33</v>
      </c>
      <c r="I408" s="5">
        <v>16.516666666670002</v>
      </c>
    </row>
    <row r="409" spans="8:9" x14ac:dyDescent="0.25">
      <c r="H409" s="15" t="s">
        <v>34</v>
      </c>
      <c r="I409" s="5">
        <v>15.2</v>
      </c>
    </row>
    <row r="410" spans="8:9" x14ac:dyDescent="0.25">
      <c r="H410" s="15" t="s">
        <v>35</v>
      </c>
      <c r="I410" s="5">
        <v>13.76666666667</v>
      </c>
    </row>
    <row r="411" spans="8:9" x14ac:dyDescent="0.25">
      <c r="H411" s="2">
        <v>1994</v>
      </c>
      <c r="I411" s="5">
        <v>15.886666666665832</v>
      </c>
    </row>
    <row r="412" spans="8:9" x14ac:dyDescent="0.25">
      <c r="H412" s="14">
        <v>1</v>
      </c>
      <c r="I412" s="5">
        <v>13.844444444443333</v>
      </c>
    </row>
    <row r="413" spans="8:9" x14ac:dyDescent="0.25">
      <c r="H413" s="15" t="s">
        <v>24</v>
      </c>
      <c r="I413" s="5">
        <v>14.13333333333</v>
      </c>
    </row>
    <row r="414" spans="8:9" x14ac:dyDescent="0.25">
      <c r="H414" s="15" t="s">
        <v>25</v>
      </c>
      <c r="I414" s="5">
        <v>13.783333333330001</v>
      </c>
    </row>
    <row r="415" spans="8:9" x14ac:dyDescent="0.25">
      <c r="H415" s="15" t="s">
        <v>26</v>
      </c>
      <c r="I415" s="5">
        <v>13.61666666667</v>
      </c>
    </row>
    <row r="416" spans="8:9" x14ac:dyDescent="0.25">
      <c r="H416" s="14">
        <v>2</v>
      </c>
      <c r="I416" s="5">
        <v>16.177777777776665</v>
      </c>
    </row>
    <row r="417" spans="8:9" x14ac:dyDescent="0.25">
      <c r="H417" s="15" t="s">
        <v>27</v>
      </c>
      <c r="I417" s="5">
        <v>15.08333333333</v>
      </c>
    </row>
    <row r="418" spans="8:9" x14ac:dyDescent="0.25">
      <c r="H418" s="15" t="s">
        <v>28</v>
      </c>
      <c r="I418" s="5">
        <v>16.283333333329999</v>
      </c>
    </row>
    <row r="419" spans="8:9" x14ac:dyDescent="0.25">
      <c r="H419" s="15" t="s">
        <v>29</v>
      </c>
      <c r="I419" s="5">
        <v>17.16666666667</v>
      </c>
    </row>
    <row r="420" spans="8:9" x14ac:dyDescent="0.25">
      <c r="H420" s="14">
        <v>3</v>
      </c>
      <c r="I420" s="5">
        <v>17.027777777776667</v>
      </c>
    </row>
    <row r="421" spans="8:9" x14ac:dyDescent="0.25">
      <c r="H421" s="15" t="s">
        <v>30</v>
      </c>
      <c r="I421" s="5">
        <v>17.88333333333</v>
      </c>
    </row>
    <row r="422" spans="8:9" x14ac:dyDescent="0.25">
      <c r="H422" s="15" t="s">
        <v>31</v>
      </c>
      <c r="I422" s="5">
        <v>17</v>
      </c>
    </row>
    <row r="423" spans="8:9" x14ac:dyDescent="0.25">
      <c r="H423" s="15" t="s">
        <v>32</v>
      </c>
      <c r="I423" s="5">
        <v>16.2</v>
      </c>
    </row>
    <row r="424" spans="8:9" x14ac:dyDescent="0.25">
      <c r="H424" s="14">
        <v>4</v>
      </c>
      <c r="I424" s="5">
        <v>16.496666666666666</v>
      </c>
    </row>
    <row r="425" spans="8:9" x14ac:dyDescent="0.25">
      <c r="H425" s="15" t="s">
        <v>33</v>
      </c>
      <c r="I425" s="5">
        <v>16.466666666670001</v>
      </c>
    </row>
    <row r="426" spans="8:9" x14ac:dyDescent="0.25">
      <c r="H426" s="15" t="s">
        <v>34</v>
      </c>
      <c r="I426" s="5">
        <v>17.08333333333</v>
      </c>
    </row>
    <row r="427" spans="8:9" x14ac:dyDescent="0.25">
      <c r="H427" s="15" t="s">
        <v>35</v>
      </c>
      <c r="I427" s="5">
        <v>15.94</v>
      </c>
    </row>
    <row r="428" spans="8:9" x14ac:dyDescent="0.25">
      <c r="H428" s="2">
        <v>1995</v>
      </c>
      <c r="I428" s="5">
        <v>17.183333333333334</v>
      </c>
    </row>
    <row r="429" spans="8:9" x14ac:dyDescent="0.25">
      <c r="H429" s="14">
        <v>1</v>
      </c>
      <c r="I429" s="5">
        <v>17.221111111113334</v>
      </c>
    </row>
    <row r="430" spans="8:9" x14ac:dyDescent="0.25">
      <c r="H430" s="15" t="s">
        <v>24</v>
      </c>
      <c r="I430" s="5">
        <v>16.899999999999999</v>
      </c>
    </row>
    <row r="431" spans="8:9" x14ac:dyDescent="0.25">
      <c r="H431" s="15" t="s">
        <v>25</v>
      </c>
      <c r="I431" s="5">
        <v>17.41666666667</v>
      </c>
    </row>
    <row r="432" spans="8:9" x14ac:dyDescent="0.25">
      <c r="H432" s="15" t="s">
        <v>26</v>
      </c>
      <c r="I432" s="5">
        <v>17.34666666667</v>
      </c>
    </row>
    <row r="433" spans="8:9" x14ac:dyDescent="0.25">
      <c r="H433" s="14">
        <v>2</v>
      </c>
      <c r="I433" s="5">
        <v>18.144444444443334</v>
      </c>
    </row>
    <row r="434" spans="8:9" x14ac:dyDescent="0.25">
      <c r="H434" s="15" t="s">
        <v>27</v>
      </c>
      <c r="I434" s="5">
        <v>18.646666666670001</v>
      </c>
    </row>
    <row r="435" spans="8:9" x14ac:dyDescent="0.25">
      <c r="H435" s="15" t="s">
        <v>28</v>
      </c>
      <c r="I435" s="5">
        <v>18.42333333333</v>
      </c>
    </row>
    <row r="436" spans="8:9" x14ac:dyDescent="0.25">
      <c r="H436" s="15" t="s">
        <v>29</v>
      </c>
      <c r="I436" s="5">
        <v>17.363333333330001</v>
      </c>
    </row>
    <row r="437" spans="8:9" x14ac:dyDescent="0.25">
      <c r="H437" s="14">
        <v>3</v>
      </c>
      <c r="I437" s="5">
        <v>16.456666666666667</v>
      </c>
    </row>
    <row r="438" spans="8:9" x14ac:dyDescent="0.25">
      <c r="H438" s="15" t="s">
        <v>30</v>
      </c>
      <c r="I438" s="5">
        <v>16.08333333333</v>
      </c>
    </row>
    <row r="439" spans="8:9" x14ac:dyDescent="0.25">
      <c r="H439" s="15" t="s">
        <v>31</v>
      </c>
      <c r="I439" s="5">
        <v>16.466666666670001</v>
      </c>
    </row>
    <row r="440" spans="8:9" x14ac:dyDescent="0.25">
      <c r="H440" s="15" t="s">
        <v>32</v>
      </c>
      <c r="I440" s="5">
        <v>16.82</v>
      </c>
    </row>
    <row r="441" spans="8:9" x14ac:dyDescent="0.25">
      <c r="H441" s="14">
        <v>4</v>
      </c>
      <c r="I441" s="5">
        <v>16.911111111109999</v>
      </c>
    </row>
    <row r="442" spans="8:9" x14ac:dyDescent="0.25">
      <c r="H442" s="15" t="s">
        <v>33</v>
      </c>
      <c r="I442" s="5">
        <v>16.123333333329999</v>
      </c>
    </row>
    <row r="443" spans="8:9" x14ac:dyDescent="0.25">
      <c r="H443" s="15" t="s">
        <v>34</v>
      </c>
      <c r="I443" s="5">
        <v>16.74333333333</v>
      </c>
    </row>
    <row r="444" spans="8:9" x14ac:dyDescent="0.25">
      <c r="H444" s="15" t="s">
        <v>35</v>
      </c>
      <c r="I444" s="5">
        <v>17.86666666667</v>
      </c>
    </row>
    <row r="445" spans="8:9" x14ac:dyDescent="0.25">
      <c r="H445" s="2">
        <v>1996</v>
      </c>
      <c r="I445" s="5">
        <v>20.419999999999998</v>
      </c>
    </row>
    <row r="446" spans="8:9" x14ac:dyDescent="0.25">
      <c r="H446" s="14">
        <v>1</v>
      </c>
      <c r="I446" s="5">
        <v>18.298888888890001</v>
      </c>
    </row>
    <row r="447" spans="8:9" x14ac:dyDescent="0.25">
      <c r="H447" s="15" t="s">
        <v>24</v>
      </c>
      <c r="I447" s="5">
        <v>17.8</v>
      </c>
    </row>
    <row r="448" spans="8:9" x14ac:dyDescent="0.25">
      <c r="H448" s="15" t="s">
        <v>25</v>
      </c>
      <c r="I448" s="5">
        <v>17.696666666670001</v>
      </c>
    </row>
    <row r="449" spans="8:9" x14ac:dyDescent="0.25">
      <c r="H449" s="15" t="s">
        <v>26</v>
      </c>
      <c r="I449" s="5">
        <v>19.399999999999999</v>
      </c>
    </row>
    <row r="450" spans="8:9" x14ac:dyDescent="0.25">
      <c r="H450" s="14">
        <v>2</v>
      </c>
      <c r="I450" s="5">
        <v>19.412222222219999</v>
      </c>
    </row>
    <row r="451" spans="8:9" x14ac:dyDescent="0.25">
      <c r="H451" s="15" t="s">
        <v>27</v>
      </c>
      <c r="I451" s="5">
        <v>20.66</v>
      </c>
    </row>
    <row r="452" spans="8:9" x14ac:dyDescent="0.25">
      <c r="H452" s="15" t="s">
        <v>28</v>
      </c>
      <c r="I452" s="5">
        <v>19.06333333333</v>
      </c>
    </row>
    <row r="453" spans="8:9" x14ac:dyDescent="0.25">
      <c r="H453" s="15" t="s">
        <v>29</v>
      </c>
      <c r="I453" s="5">
        <v>18.513333333329999</v>
      </c>
    </row>
    <row r="454" spans="8:9" x14ac:dyDescent="0.25">
      <c r="H454" s="14">
        <v>3</v>
      </c>
      <c r="I454" s="5">
        <v>20.761111111113333</v>
      </c>
    </row>
    <row r="455" spans="8:9" x14ac:dyDescent="0.25">
      <c r="H455" s="15" t="s">
        <v>30</v>
      </c>
      <c r="I455" s="5">
        <v>19.586666666669998</v>
      </c>
    </row>
    <row r="456" spans="8:9" x14ac:dyDescent="0.25">
      <c r="H456" s="15" t="s">
        <v>31</v>
      </c>
      <c r="I456" s="5">
        <v>20.440000000000001</v>
      </c>
    </row>
    <row r="457" spans="8:9" x14ac:dyDescent="0.25">
      <c r="H457" s="15" t="s">
        <v>32</v>
      </c>
      <c r="I457" s="5">
        <v>22.25666666667</v>
      </c>
    </row>
    <row r="458" spans="8:9" x14ac:dyDescent="0.25">
      <c r="H458" s="14">
        <v>4</v>
      </c>
      <c r="I458" s="5">
        <v>23.207777777776666</v>
      </c>
    </row>
    <row r="459" spans="8:9" x14ac:dyDescent="0.25">
      <c r="H459" s="15" t="s">
        <v>33</v>
      </c>
      <c r="I459" s="5">
        <v>23.61</v>
      </c>
    </row>
    <row r="460" spans="8:9" x14ac:dyDescent="0.25">
      <c r="H460" s="15" t="s">
        <v>34</v>
      </c>
      <c r="I460" s="5">
        <v>22.39</v>
      </c>
    </row>
    <row r="461" spans="8:9" x14ac:dyDescent="0.25">
      <c r="H461" s="15" t="s">
        <v>35</v>
      </c>
      <c r="I461" s="5">
        <v>23.623333333329999</v>
      </c>
    </row>
    <row r="462" spans="8:9" x14ac:dyDescent="0.25">
      <c r="H462" s="2">
        <v>1997</v>
      </c>
      <c r="I462" s="5">
        <v>19.171042724868332</v>
      </c>
    </row>
    <row r="463" spans="8:9" x14ac:dyDescent="0.25">
      <c r="H463" s="14">
        <v>1</v>
      </c>
      <c r="I463" s="5">
        <v>20.992222222223333</v>
      </c>
    </row>
    <row r="464" spans="8:9" x14ac:dyDescent="0.25">
      <c r="H464" s="15" t="s">
        <v>24</v>
      </c>
      <c r="I464" s="5">
        <v>23.226666666669999</v>
      </c>
    </row>
    <row r="465" spans="8:9" x14ac:dyDescent="0.25">
      <c r="H465" s="15" t="s">
        <v>25</v>
      </c>
      <c r="I465" s="5">
        <v>20.420000000000002</v>
      </c>
    </row>
    <row r="466" spans="8:9" x14ac:dyDescent="0.25">
      <c r="H466" s="15" t="s">
        <v>26</v>
      </c>
      <c r="I466" s="5">
        <v>19.329999999999998</v>
      </c>
    </row>
    <row r="467" spans="8:9" x14ac:dyDescent="0.25">
      <c r="H467" s="14">
        <v>2</v>
      </c>
      <c r="I467" s="5">
        <v>18.389144444443332</v>
      </c>
    </row>
    <row r="468" spans="8:9" x14ac:dyDescent="0.25">
      <c r="H468" s="15" t="s">
        <v>27</v>
      </c>
      <c r="I468" s="5">
        <v>17.88</v>
      </c>
    </row>
    <row r="469" spans="8:9" x14ac:dyDescent="0.25">
      <c r="H469" s="15" t="s">
        <v>28</v>
      </c>
      <c r="I469" s="5">
        <v>19.367433333329998</v>
      </c>
    </row>
    <row r="470" spans="8:9" x14ac:dyDescent="0.25">
      <c r="H470" s="15" t="s">
        <v>29</v>
      </c>
      <c r="I470" s="5">
        <v>17.920000000000002</v>
      </c>
    </row>
    <row r="471" spans="8:9" x14ac:dyDescent="0.25">
      <c r="H471" s="14">
        <v>3</v>
      </c>
      <c r="I471" s="5">
        <v>18.563915343916666</v>
      </c>
    </row>
    <row r="472" spans="8:9" x14ac:dyDescent="0.25">
      <c r="H472" s="15" t="s">
        <v>30</v>
      </c>
      <c r="I472" s="5">
        <v>18.329999999999998</v>
      </c>
    </row>
    <row r="473" spans="8:9" x14ac:dyDescent="0.25">
      <c r="H473" s="15" t="s">
        <v>31</v>
      </c>
      <c r="I473" s="5">
        <v>18.7</v>
      </c>
    </row>
    <row r="474" spans="8:9" x14ac:dyDescent="0.25">
      <c r="H474" s="15" t="s">
        <v>32</v>
      </c>
      <c r="I474" s="5">
        <v>18.661746031749999</v>
      </c>
    </row>
    <row r="475" spans="8:9" x14ac:dyDescent="0.25">
      <c r="H475" s="14">
        <v>4</v>
      </c>
      <c r="I475" s="5">
        <v>18.738888888889999</v>
      </c>
    </row>
    <row r="476" spans="8:9" x14ac:dyDescent="0.25">
      <c r="H476" s="15" t="s">
        <v>33</v>
      </c>
      <c r="I476" s="5">
        <v>20.04</v>
      </c>
    </row>
    <row r="477" spans="8:9" x14ac:dyDescent="0.25">
      <c r="H477" s="15" t="s">
        <v>34</v>
      </c>
      <c r="I477" s="5">
        <v>19.086666666669998</v>
      </c>
    </row>
    <row r="478" spans="8:9" x14ac:dyDescent="0.25">
      <c r="H478" s="15" t="s">
        <v>35</v>
      </c>
      <c r="I478" s="5">
        <v>17.09</v>
      </c>
    </row>
    <row r="479" spans="8:9" x14ac:dyDescent="0.25">
      <c r="H479" s="2">
        <v>1998</v>
      </c>
      <c r="I479" s="5">
        <v>13.064441666666667</v>
      </c>
    </row>
    <row r="480" spans="8:9" x14ac:dyDescent="0.25">
      <c r="H480" s="14">
        <v>1</v>
      </c>
      <c r="I480" s="5">
        <v>14.074444444443335</v>
      </c>
    </row>
    <row r="481" spans="8:9" x14ac:dyDescent="0.25">
      <c r="H481" s="15" t="s">
        <v>24</v>
      </c>
      <c r="I481" s="5">
        <v>15</v>
      </c>
    </row>
    <row r="482" spans="8:9" x14ac:dyDescent="0.25">
      <c r="H482" s="15" t="s">
        <v>25</v>
      </c>
      <c r="I482" s="5">
        <v>14.1</v>
      </c>
    </row>
    <row r="483" spans="8:9" x14ac:dyDescent="0.25">
      <c r="H483" s="15" t="s">
        <v>26</v>
      </c>
      <c r="I483" s="5">
        <v>13.123333333330001</v>
      </c>
    </row>
    <row r="484" spans="8:9" x14ac:dyDescent="0.25">
      <c r="H484" s="14">
        <v>2</v>
      </c>
      <c r="I484" s="5">
        <v>13.335222222223331</v>
      </c>
    </row>
    <row r="485" spans="8:9" x14ac:dyDescent="0.25">
      <c r="H485" s="15" t="s">
        <v>27</v>
      </c>
      <c r="I485" s="5">
        <v>13.5</v>
      </c>
    </row>
    <row r="486" spans="8:9" x14ac:dyDescent="0.25">
      <c r="H486" s="15" t="s">
        <v>28</v>
      </c>
      <c r="I486" s="5">
        <v>14.02666666667</v>
      </c>
    </row>
    <row r="487" spans="8:9" x14ac:dyDescent="0.25">
      <c r="H487" s="15" t="s">
        <v>29</v>
      </c>
      <c r="I487" s="5">
        <v>12.478999999999999</v>
      </c>
    </row>
    <row r="488" spans="8:9" x14ac:dyDescent="0.25">
      <c r="H488" s="14">
        <v>3</v>
      </c>
      <c r="I488" s="5">
        <v>12.99698888889</v>
      </c>
    </row>
    <row r="489" spans="8:9" x14ac:dyDescent="0.25">
      <c r="H489" s="15" t="s">
        <v>30</v>
      </c>
      <c r="I489" s="5">
        <v>12.69966666667</v>
      </c>
    </row>
    <row r="490" spans="8:9" x14ac:dyDescent="0.25">
      <c r="H490" s="15" t="s">
        <v>31</v>
      </c>
      <c r="I490" s="5">
        <v>12.487966666669999</v>
      </c>
    </row>
    <row r="491" spans="8:9" x14ac:dyDescent="0.25">
      <c r="H491" s="15" t="s">
        <v>32</v>
      </c>
      <c r="I491" s="5">
        <v>13.80333333333</v>
      </c>
    </row>
    <row r="492" spans="8:9" x14ac:dyDescent="0.25">
      <c r="H492" s="14">
        <v>4</v>
      </c>
      <c r="I492" s="5">
        <v>11.851111111110001</v>
      </c>
    </row>
    <row r="493" spans="8:9" x14ac:dyDescent="0.25">
      <c r="H493" s="15" t="s">
        <v>33</v>
      </c>
      <c r="I493" s="5">
        <v>13.263333333329999</v>
      </c>
    </row>
    <row r="494" spans="8:9" x14ac:dyDescent="0.25">
      <c r="H494" s="15" t="s">
        <v>34</v>
      </c>
      <c r="I494" s="5">
        <v>11.88</v>
      </c>
    </row>
    <row r="495" spans="8:9" x14ac:dyDescent="0.25">
      <c r="H495" s="15" t="s">
        <v>35</v>
      </c>
      <c r="I495" s="5">
        <v>10.41</v>
      </c>
    </row>
    <row r="496" spans="8:9" x14ac:dyDescent="0.25">
      <c r="H496" s="2">
        <v>1999</v>
      </c>
      <c r="I496" s="5">
        <v>18.071388888888333</v>
      </c>
    </row>
    <row r="497" spans="8:9" x14ac:dyDescent="0.25">
      <c r="H497" s="14">
        <v>1</v>
      </c>
      <c r="I497" s="5">
        <v>11.787777777776668</v>
      </c>
    </row>
    <row r="498" spans="8:9" x14ac:dyDescent="0.25">
      <c r="H498" s="15" t="s">
        <v>24</v>
      </c>
      <c r="I498" s="5">
        <v>11.443333333329999</v>
      </c>
    </row>
    <row r="499" spans="8:9" x14ac:dyDescent="0.25">
      <c r="H499" s="15" t="s">
        <v>25</v>
      </c>
      <c r="I499" s="5">
        <v>10.75333333333</v>
      </c>
    </row>
    <row r="500" spans="8:9" x14ac:dyDescent="0.25">
      <c r="H500" s="15" t="s">
        <v>26</v>
      </c>
      <c r="I500" s="5">
        <v>13.16666666667</v>
      </c>
    </row>
    <row r="501" spans="8:9" x14ac:dyDescent="0.25">
      <c r="H501" s="14">
        <v>2</v>
      </c>
      <c r="I501" s="5">
        <v>16.107777777776665</v>
      </c>
    </row>
    <row r="502" spans="8:9" x14ac:dyDescent="0.25">
      <c r="H502" s="15" t="s">
        <v>27</v>
      </c>
      <c r="I502" s="5">
        <v>15.86666666667</v>
      </c>
    </row>
    <row r="503" spans="8:9" x14ac:dyDescent="0.25">
      <c r="H503" s="15" t="s">
        <v>28</v>
      </c>
      <c r="I503" s="5">
        <v>16.06333333333</v>
      </c>
    </row>
    <row r="504" spans="8:9" x14ac:dyDescent="0.25">
      <c r="H504" s="15" t="s">
        <v>29</v>
      </c>
      <c r="I504" s="5">
        <v>16.393333333329998</v>
      </c>
    </row>
    <row r="505" spans="8:9" x14ac:dyDescent="0.25">
      <c r="H505" s="14">
        <v>3</v>
      </c>
      <c r="I505" s="5">
        <v>20.652222222223333</v>
      </c>
    </row>
    <row r="506" spans="8:9" x14ac:dyDescent="0.25">
      <c r="H506" s="15" t="s">
        <v>30</v>
      </c>
      <c r="I506" s="5">
        <v>18.986666666670001</v>
      </c>
    </row>
    <row r="507" spans="8:9" x14ac:dyDescent="0.25">
      <c r="H507" s="15" t="s">
        <v>31</v>
      </c>
      <c r="I507" s="5">
        <v>20.27</v>
      </c>
    </row>
    <row r="508" spans="8:9" x14ac:dyDescent="0.25">
      <c r="H508" s="15" t="s">
        <v>32</v>
      </c>
      <c r="I508" s="5">
        <v>22.7</v>
      </c>
    </row>
    <row r="509" spans="8:9" x14ac:dyDescent="0.25">
      <c r="H509" s="14">
        <v>4</v>
      </c>
      <c r="I509" s="5">
        <v>23.737777777776671</v>
      </c>
    </row>
    <row r="510" spans="8:9" x14ac:dyDescent="0.25">
      <c r="H510" s="15" t="s">
        <v>33</v>
      </c>
      <c r="I510" s="5">
        <v>21.95</v>
      </c>
    </row>
    <row r="511" spans="8:9" x14ac:dyDescent="0.25">
      <c r="H511" s="15" t="s">
        <v>34</v>
      </c>
      <c r="I511" s="5">
        <v>24.163333333330002</v>
      </c>
    </row>
    <row r="512" spans="8:9" x14ac:dyDescent="0.25">
      <c r="H512" s="15" t="s">
        <v>35</v>
      </c>
      <c r="I512" s="5">
        <v>25.1</v>
      </c>
    </row>
    <row r="513" spans="8:9" x14ac:dyDescent="0.25">
      <c r="H513" s="2">
        <v>2000</v>
      </c>
      <c r="I513" s="5">
        <v>28.229719444445834</v>
      </c>
    </row>
    <row r="514" spans="8:9" x14ac:dyDescent="0.25">
      <c r="H514" s="14">
        <v>1</v>
      </c>
      <c r="I514" s="5">
        <v>26.673655555556664</v>
      </c>
    </row>
    <row r="515" spans="8:9" x14ac:dyDescent="0.25">
      <c r="H515" s="15" t="s">
        <v>24</v>
      </c>
      <c r="I515" s="5">
        <v>25.31</v>
      </c>
    </row>
    <row r="516" spans="8:9" x14ac:dyDescent="0.25">
      <c r="H516" s="15" t="s">
        <v>25</v>
      </c>
      <c r="I516" s="5">
        <v>27.220966666670002</v>
      </c>
    </row>
    <row r="517" spans="8:9" x14ac:dyDescent="0.25">
      <c r="H517" s="15" t="s">
        <v>26</v>
      </c>
      <c r="I517" s="5">
        <v>27.49</v>
      </c>
    </row>
    <row r="518" spans="8:9" x14ac:dyDescent="0.25">
      <c r="H518" s="14">
        <v>2</v>
      </c>
      <c r="I518" s="5">
        <v>26.759144444446665</v>
      </c>
    </row>
    <row r="519" spans="8:9" x14ac:dyDescent="0.25">
      <c r="H519" s="15" t="s">
        <v>27</v>
      </c>
      <c r="I519" s="5">
        <v>23.47</v>
      </c>
    </row>
    <row r="520" spans="8:9" x14ac:dyDescent="0.25">
      <c r="H520" s="15" t="s">
        <v>28</v>
      </c>
      <c r="I520" s="5">
        <v>27.18666666667</v>
      </c>
    </row>
    <row r="521" spans="8:9" x14ac:dyDescent="0.25">
      <c r="H521" s="15" t="s">
        <v>29</v>
      </c>
      <c r="I521" s="5">
        <v>29.620766666670001</v>
      </c>
    </row>
    <row r="522" spans="8:9" x14ac:dyDescent="0.25">
      <c r="H522" s="14">
        <v>3</v>
      </c>
      <c r="I522" s="5">
        <v>29.840800000000002</v>
      </c>
    </row>
    <row r="523" spans="8:9" x14ac:dyDescent="0.25">
      <c r="H523" s="15" t="s">
        <v>30</v>
      </c>
      <c r="I523" s="5">
        <v>28.176666666669998</v>
      </c>
    </row>
    <row r="524" spans="8:9" x14ac:dyDescent="0.25">
      <c r="H524" s="15" t="s">
        <v>31</v>
      </c>
      <c r="I524" s="5">
        <v>29.262899999999998</v>
      </c>
    </row>
    <row r="525" spans="8:9" x14ac:dyDescent="0.25">
      <c r="H525" s="15" t="s">
        <v>32</v>
      </c>
      <c r="I525" s="5">
        <v>32.082833333330001</v>
      </c>
    </row>
    <row r="526" spans="8:9" x14ac:dyDescent="0.25">
      <c r="H526" s="14">
        <v>4</v>
      </c>
      <c r="I526" s="5">
        <v>29.645277777780006</v>
      </c>
    </row>
    <row r="527" spans="8:9" x14ac:dyDescent="0.25">
      <c r="H527" s="15" t="s">
        <v>33</v>
      </c>
      <c r="I527" s="5">
        <v>31.40016666667</v>
      </c>
    </row>
    <row r="528" spans="8:9" x14ac:dyDescent="0.25">
      <c r="H528" s="15" t="s">
        <v>34</v>
      </c>
      <c r="I528" s="5">
        <v>32.331000000000003</v>
      </c>
    </row>
    <row r="529" spans="8:9" x14ac:dyDescent="0.25">
      <c r="H529" s="15" t="s">
        <v>35</v>
      </c>
      <c r="I529" s="5">
        <v>25.204666666670001</v>
      </c>
    </row>
    <row r="530" spans="8:9" x14ac:dyDescent="0.25">
      <c r="H530" s="2">
        <v>2001</v>
      </c>
      <c r="I530" s="5">
        <v>24.351825004292504</v>
      </c>
    </row>
    <row r="531" spans="8:9" x14ac:dyDescent="0.25">
      <c r="H531" s="14">
        <v>1</v>
      </c>
      <c r="I531" s="5">
        <v>26.072893939393335</v>
      </c>
    </row>
    <row r="532" spans="8:9" x14ac:dyDescent="0.25">
      <c r="H532" s="15" t="s">
        <v>24</v>
      </c>
      <c r="I532" s="5">
        <v>25.957272727269999</v>
      </c>
    </row>
    <row r="533" spans="8:9" x14ac:dyDescent="0.25">
      <c r="H533" s="15" t="s">
        <v>25</v>
      </c>
      <c r="I533" s="5">
        <v>27.23883333333</v>
      </c>
    </row>
    <row r="534" spans="8:9" x14ac:dyDescent="0.25">
      <c r="H534" s="15" t="s">
        <v>26</v>
      </c>
      <c r="I534" s="5">
        <v>25.02257575758</v>
      </c>
    </row>
    <row r="535" spans="8:9" x14ac:dyDescent="0.25">
      <c r="H535" s="14">
        <v>2</v>
      </c>
      <c r="I535" s="5">
        <v>26.743619047620001</v>
      </c>
    </row>
    <row r="536" spans="8:9" x14ac:dyDescent="0.25">
      <c r="H536" s="15" t="s">
        <v>27</v>
      </c>
      <c r="I536" s="5">
        <v>25.718</v>
      </c>
    </row>
    <row r="537" spans="8:9" x14ac:dyDescent="0.25">
      <c r="H537" s="15" t="s">
        <v>28</v>
      </c>
      <c r="I537" s="5">
        <v>27.546825396829998</v>
      </c>
    </row>
    <row r="538" spans="8:9" x14ac:dyDescent="0.25">
      <c r="H538" s="15" t="s">
        <v>29</v>
      </c>
      <c r="I538" s="5">
        <v>26.966031746030001</v>
      </c>
    </row>
    <row r="539" spans="8:9" x14ac:dyDescent="0.25">
      <c r="H539" s="14">
        <v>3</v>
      </c>
      <c r="I539" s="5">
        <v>25.277501913546669</v>
      </c>
    </row>
    <row r="540" spans="8:9" x14ac:dyDescent="0.25">
      <c r="H540" s="15" t="s">
        <v>30</v>
      </c>
      <c r="I540" s="5">
        <v>24.80367965368</v>
      </c>
    </row>
    <row r="541" spans="8:9" x14ac:dyDescent="0.25">
      <c r="H541" s="15" t="s">
        <v>31</v>
      </c>
      <c r="I541" s="5">
        <v>25.821159420290002</v>
      </c>
    </row>
    <row r="542" spans="8:9" x14ac:dyDescent="0.25">
      <c r="H542" s="15" t="s">
        <v>32</v>
      </c>
      <c r="I542" s="5">
        <v>25.207666666670001</v>
      </c>
    </row>
    <row r="543" spans="8:9" x14ac:dyDescent="0.25">
      <c r="H543" s="14">
        <v>4</v>
      </c>
      <c r="I543" s="5">
        <v>19.31328511661</v>
      </c>
    </row>
    <row r="544" spans="8:9" x14ac:dyDescent="0.25">
      <c r="H544" s="15" t="s">
        <v>33</v>
      </c>
      <c r="I544" s="5">
        <v>20.731884057969999</v>
      </c>
    </row>
    <row r="545" spans="8:9" x14ac:dyDescent="0.25">
      <c r="H545" s="15" t="s">
        <v>34</v>
      </c>
      <c r="I545" s="5">
        <v>18.688181818179999</v>
      </c>
    </row>
    <row r="546" spans="8:9" x14ac:dyDescent="0.25">
      <c r="H546" s="15" t="s">
        <v>35</v>
      </c>
      <c r="I546" s="5">
        <v>18.51978947368</v>
      </c>
    </row>
    <row r="547" spans="8:9" x14ac:dyDescent="0.25">
      <c r="H547" s="2">
        <v>2002</v>
      </c>
      <c r="I547" s="5">
        <v>24.927748381805003</v>
      </c>
    </row>
    <row r="548" spans="8:9" x14ac:dyDescent="0.25">
      <c r="H548" s="14">
        <v>1</v>
      </c>
      <c r="I548" s="5">
        <v>20.923571972863332</v>
      </c>
    </row>
    <row r="549" spans="8:9" x14ac:dyDescent="0.25">
      <c r="H549" s="15" t="s">
        <v>24</v>
      </c>
      <c r="I549" s="5">
        <v>19.154812409809999</v>
      </c>
    </row>
    <row r="550" spans="8:9" x14ac:dyDescent="0.25">
      <c r="H550" s="15" t="s">
        <v>25</v>
      </c>
      <c r="I550" s="5">
        <v>19.97523684211</v>
      </c>
    </row>
    <row r="551" spans="8:9" x14ac:dyDescent="0.25">
      <c r="H551" s="15" t="s">
        <v>26</v>
      </c>
      <c r="I551" s="5">
        <v>23.64066666667</v>
      </c>
    </row>
    <row r="552" spans="8:9" x14ac:dyDescent="0.25">
      <c r="H552" s="14">
        <v>2</v>
      </c>
      <c r="I552" s="5">
        <v>25.198215040050002</v>
      </c>
    </row>
    <row r="553" spans="8:9" x14ac:dyDescent="0.25">
      <c r="H553" s="15" t="s">
        <v>27</v>
      </c>
      <c r="I553" s="5">
        <v>25.434242424240001</v>
      </c>
    </row>
    <row r="554" spans="8:9" x14ac:dyDescent="0.25">
      <c r="H554" s="15" t="s">
        <v>28</v>
      </c>
      <c r="I554" s="5">
        <v>25.672345191040002</v>
      </c>
    </row>
    <row r="555" spans="8:9" x14ac:dyDescent="0.25">
      <c r="H555" s="15" t="s">
        <v>29</v>
      </c>
      <c r="I555" s="5">
        <v>24.48805750487</v>
      </c>
    </row>
    <row r="556" spans="8:9" x14ac:dyDescent="0.25">
      <c r="H556" s="14">
        <v>3</v>
      </c>
      <c r="I556" s="5">
        <v>26.937114206243333</v>
      </c>
    </row>
    <row r="557" spans="8:9" x14ac:dyDescent="0.25">
      <c r="H557" s="15" t="s">
        <v>30</v>
      </c>
      <c r="I557" s="5">
        <v>25.754748102139999</v>
      </c>
    </row>
    <row r="558" spans="8:9" x14ac:dyDescent="0.25">
      <c r="H558" s="15" t="s">
        <v>31</v>
      </c>
      <c r="I558" s="5">
        <v>26.775800865800001</v>
      </c>
    </row>
    <row r="559" spans="8:9" x14ac:dyDescent="0.25">
      <c r="H559" s="15" t="s">
        <v>32</v>
      </c>
      <c r="I559" s="5">
        <v>28.280793650789999</v>
      </c>
    </row>
    <row r="560" spans="8:9" x14ac:dyDescent="0.25">
      <c r="H560" s="14">
        <v>4</v>
      </c>
      <c r="I560" s="5">
        <v>26.652092308063331</v>
      </c>
    </row>
    <row r="561" spans="8:9" x14ac:dyDescent="0.25">
      <c r="H561" s="15" t="s">
        <v>33</v>
      </c>
      <c r="I561" s="5">
        <v>27.526811594200002</v>
      </c>
    </row>
    <row r="562" spans="8:9" x14ac:dyDescent="0.25">
      <c r="H562" s="15" t="s">
        <v>34</v>
      </c>
      <c r="I562" s="5">
        <v>24.542481203009999</v>
      </c>
    </row>
    <row r="563" spans="8:9" x14ac:dyDescent="0.25">
      <c r="H563" s="15" t="s">
        <v>35</v>
      </c>
      <c r="I563" s="5">
        <v>27.88698412698</v>
      </c>
    </row>
    <row r="564" spans="8:9" x14ac:dyDescent="0.25">
      <c r="H564" s="2">
        <v>2003</v>
      </c>
      <c r="I564" s="5">
        <v>28.898903189480837</v>
      </c>
    </row>
    <row r="565" spans="8:9" x14ac:dyDescent="0.25">
      <c r="H565" s="14">
        <v>1</v>
      </c>
      <c r="I565" s="5">
        <v>31.330967000836665</v>
      </c>
    </row>
    <row r="566" spans="8:9" x14ac:dyDescent="0.25">
      <c r="H566" s="15" t="s">
        <v>24</v>
      </c>
      <c r="I566" s="5">
        <v>30.750317460320002</v>
      </c>
    </row>
    <row r="567" spans="8:9" x14ac:dyDescent="0.25">
      <c r="H567" s="15" t="s">
        <v>25</v>
      </c>
      <c r="I567" s="5">
        <v>32.883377192979999</v>
      </c>
    </row>
    <row r="568" spans="8:9" x14ac:dyDescent="0.25">
      <c r="H568" s="15" t="s">
        <v>26</v>
      </c>
      <c r="I568" s="5">
        <v>30.359206349210002</v>
      </c>
    </row>
    <row r="569" spans="8:9" x14ac:dyDescent="0.25">
      <c r="H569" s="14">
        <v>2</v>
      </c>
      <c r="I569" s="5">
        <v>26.512674603173338</v>
      </c>
    </row>
    <row r="570" spans="8:9" x14ac:dyDescent="0.25">
      <c r="H570" s="15" t="s">
        <v>27</v>
      </c>
      <c r="I570" s="5">
        <v>25.555968253970001</v>
      </c>
    </row>
    <row r="571" spans="8:9" x14ac:dyDescent="0.25">
      <c r="H571" s="15" t="s">
        <v>28</v>
      </c>
      <c r="I571" s="5">
        <v>26.064912698410001</v>
      </c>
    </row>
    <row r="572" spans="8:9" x14ac:dyDescent="0.25">
      <c r="H572" s="15" t="s">
        <v>29</v>
      </c>
      <c r="I572" s="5">
        <v>27.91714285714</v>
      </c>
    </row>
    <row r="573" spans="8:9" x14ac:dyDescent="0.25">
      <c r="H573" s="14">
        <v>3</v>
      </c>
      <c r="I573" s="5">
        <v>28.383157872723331</v>
      </c>
    </row>
    <row r="574" spans="8:9" x14ac:dyDescent="0.25">
      <c r="H574" s="15" t="s">
        <v>30</v>
      </c>
      <c r="I574" s="5">
        <v>28.591587615280002</v>
      </c>
    </row>
    <row r="575" spans="8:9" x14ac:dyDescent="0.25">
      <c r="H575" s="15" t="s">
        <v>31</v>
      </c>
      <c r="I575" s="5">
        <v>29.675555555559999</v>
      </c>
    </row>
    <row r="576" spans="8:9" x14ac:dyDescent="0.25">
      <c r="H576" s="15" t="s">
        <v>32</v>
      </c>
      <c r="I576" s="5">
        <v>26.882330447329998</v>
      </c>
    </row>
    <row r="577" spans="8:9" x14ac:dyDescent="0.25">
      <c r="H577" s="14">
        <v>4</v>
      </c>
      <c r="I577" s="5">
        <v>29.36881328119</v>
      </c>
    </row>
    <row r="578" spans="8:9" x14ac:dyDescent="0.25">
      <c r="H578" s="15" t="s">
        <v>33</v>
      </c>
      <c r="I578" s="5">
        <v>29.014492753620001</v>
      </c>
    </row>
    <row r="579" spans="8:9" x14ac:dyDescent="0.25">
      <c r="H579" s="15" t="s">
        <v>34</v>
      </c>
      <c r="I579" s="5">
        <v>29.122740740739999</v>
      </c>
    </row>
    <row r="580" spans="8:9" x14ac:dyDescent="0.25">
      <c r="H580" s="15" t="s">
        <v>35</v>
      </c>
      <c r="I580" s="5">
        <v>29.969206349210001</v>
      </c>
    </row>
    <row r="581" spans="8:9" x14ac:dyDescent="0.25">
      <c r="H581" s="2">
        <v>2004</v>
      </c>
      <c r="I581" s="5">
        <v>37.733387703035831</v>
      </c>
    </row>
    <row r="582" spans="8:9" x14ac:dyDescent="0.25">
      <c r="H582" s="14">
        <v>1</v>
      </c>
      <c r="I582" s="5">
        <v>32.121375031783337</v>
      </c>
    </row>
    <row r="583" spans="8:9" x14ac:dyDescent="0.25">
      <c r="H583" s="15" t="s">
        <v>24</v>
      </c>
      <c r="I583" s="5">
        <v>31.367719298250002</v>
      </c>
    </row>
    <row r="584" spans="8:9" x14ac:dyDescent="0.25">
      <c r="H584" s="15" t="s">
        <v>25</v>
      </c>
      <c r="I584" s="5">
        <v>31.331333333330001</v>
      </c>
    </row>
    <row r="585" spans="8:9" x14ac:dyDescent="0.25">
      <c r="H585" s="15" t="s">
        <v>26</v>
      </c>
      <c r="I585" s="5">
        <v>33.665072463770002</v>
      </c>
    </row>
    <row r="586" spans="8:9" x14ac:dyDescent="0.25">
      <c r="H586" s="14">
        <v>2</v>
      </c>
      <c r="I586" s="5">
        <v>35.604011037693333</v>
      </c>
    </row>
    <row r="587" spans="8:9" x14ac:dyDescent="0.25">
      <c r="H587" s="15" t="s">
        <v>27</v>
      </c>
      <c r="I587" s="5">
        <v>33.711392496389998</v>
      </c>
    </row>
    <row r="588" spans="8:9" x14ac:dyDescent="0.25">
      <c r="H588" s="15" t="s">
        <v>28</v>
      </c>
      <c r="I588" s="5">
        <v>37.557898913949998</v>
      </c>
    </row>
    <row r="589" spans="8:9" x14ac:dyDescent="0.25">
      <c r="H589" s="15" t="s">
        <v>29</v>
      </c>
      <c r="I589" s="5">
        <v>35.542741702740003</v>
      </c>
    </row>
    <row r="590" spans="8:9" x14ac:dyDescent="0.25">
      <c r="H590" s="14">
        <v>3</v>
      </c>
      <c r="I590" s="5">
        <v>40.524297739300003</v>
      </c>
    </row>
    <row r="591" spans="8:9" x14ac:dyDescent="0.25">
      <c r="H591" s="15" t="s">
        <v>30</v>
      </c>
      <c r="I591" s="5">
        <v>37.891998557000001</v>
      </c>
    </row>
    <row r="592" spans="8:9" x14ac:dyDescent="0.25">
      <c r="H592" s="15" t="s">
        <v>31</v>
      </c>
      <c r="I592" s="5">
        <v>42.084069264070003</v>
      </c>
    </row>
    <row r="593" spans="8:9" x14ac:dyDescent="0.25">
      <c r="H593" s="15" t="s">
        <v>32</v>
      </c>
      <c r="I593" s="5">
        <v>41.596825396829999</v>
      </c>
    </row>
    <row r="594" spans="8:9" x14ac:dyDescent="0.25">
      <c r="H594" s="14">
        <v>4</v>
      </c>
      <c r="I594" s="5">
        <v>42.683867003366665</v>
      </c>
    </row>
    <row r="595" spans="8:9" x14ac:dyDescent="0.25">
      <c r="H595" s="15" t="s">
        <v>33</v>
      </c>
      <c r="I595" s="5">
        <v>46.881111111110002</v>
      </c>
    </row>
    <row r="596" spans="8:9" x14ac:dyDescent="0.25">
      <c r="H596" s="15" t="s">
        <v>34</v>
      </c>
      <c r="I596" s="5">
        <v>42.12554545455</v>
      </c>
    </row>
    <row r="597" spans="8:9" x14ac:dyDescent="0.25">
      <c r="H597" s="15" t="s">
        <v>35</v>
      </c>
      <c r="I597" s="5">
        <v>39.044944444439999</v>
      </c>
    </row>
    <row r="598" spans="8:9" x14ac:dyDescent="0.25">
      <c r="H598" s="2">
        <v>2005</v>
      </c>
      <c r="I598" s="5">
        <v>53.391024596791674</v>
      </c>
    </row>
    <row r="599" spans="8:9" x14ac:dyDescent="0.25">
      <c r="H599" s="14">
        <v>1</v>
      </c>
      <c r="I599" s="5">
        <v>46.244455697326664</v>
      </c>
    </row>
    <row r="600" spans="8:9" x14ac:dyDescent="0.25">
      <c r="H600" s="15" t="s">
        <v>24</v>
      </c>
      <c r="I600" s="5">
        <v>42.97227777778</v>
      </c>
    </row>
    <row r="601" spans="8:9" x14ac:dyDescent="0.25">
      <c r="H601" s="15" t="s">
        <v>25</v>
      </c>
      <c r="I601" s="5">
        <v>44.818210526320001</v>
      </c>
    </row>
    <row r="602" spans="8:9" x14ac:dyDescent="0.25">
      <c r="H602" s="15" t="s">
        <v>26</v>
      </c>
      <c r="I602" s="5">
        <v>50.942878787879998</v>
      </c>
    </row>
    <row r="603" spans="8:9" x14ac:dyDescent="0.25">
      <c r="H603" s="14">
        <v>2</v>
      </c>
      <c r="I603" s="5">
        <v>50.785784030783333</v>
      </c>
    </row>
    <row r="604" spans="8:9" x14ac:dyDescent="0.25">
      <c r="H604" s="15" t="s">
        <v>27</v>
      </c>
      <c r="I604" s="5">
        <v>50.640476190480001</v>
      </c>
    </row>
    <row r="605" spans="8:9" x14ac:dyDescent="0.25">
      <c r="H605" s="15" t="s">
        <v>28</v>
      </c>
      <c r="I605" s="5">
        <v>47.826572871570001</v>
      </c>
    </row>
    <row r="606" spans="8:9" x14ac:dyDescent="0.25">
      <c r="H606" s="15" t="s">
        <v>29</v>
      </c>
      <c r="I606" s="5">
        <v>53.890303030299997</v>
      </c>
    </row>
    <row r="607" spans="8:9" x14ac:dyDescent="0.25">
      <c r="H607" s="14">
        <v>3</v>
      </c>
      <c r="I607" s="5">
        <v>59.981342786039995</v>
      </c>
    </row>
    <row r="608" spans="8:9" x14ac:dyDescent="0.25">
      <c r="H608" s="15" t="s">
        <v>30</v>
      </c>
      <c r="I608" s="5">
        <v>56.36580952381</v>
      </c>
    </row>
    <row r="609" spans="8:9" x14ac:dyDescent="0.25">
      <c r="H609" s="15" t="s">
        <v>31</v>
      </c>
      <c r="I609" s="5">
        <v>61.890520421609999</v>
      </c>
    </row>
    <row r="610" spans="8:9" x14ac:dyDescent="0.25">
      <c r="H610" s="15" t="s">
        <v>32</v>
      </c>
      <c r="I610" s="5">
        <v>61.687698412700001</v>
      </c>
    </row>
    <row r="611" spans="8:9" x14ac:dyDescent="0.25">
      <c r="H611" s="14">
        <v>4</v>
      </c>
      <c r="I611" s="5">
        <v>56.552515873016667</v>
      </c>
    </row>
    <row r="612" spans="8:9" x14ac:dyDescent="0.25">
      <c r="H612" s="15" t="s">
        <v>33</v>
      </c>
      <c r="I612" s="5">
        <v>58.18507936508</v>
      </c>
    </row>
    <row r="613" spans="8:9" x14ac:dyDescent="0.25">
      <c r="H613" s="15" t="s">
        <v>34</v>
      </c>
      <c r="I613" s="5">
        <v>55.042825396829997</v>
      </c>
    </row>
    <row r="614" spans="8:9" x14ac:dyDescent="0.25">
      <c r="H614" s="15" t="s">
        <v>35</v>
      </c>
      <c r="I614" s="5">
        <v>56.429642857140003</v>
      </c>
    </row>
    <row r="615" spans="8:9" x14ac:dyDescent="0.25">
      <c r="H615" s="2">
        <v>2006</v>
      </c>
      <c r="I615" s="5">
        <v>64.288259140200836</v>
      </c>
    </row>
    <row r="616" spans="8:9" x14ac:dyDescent="0.25">
      <c r="H616" s="14">
        <v>1</v>
      </c>
      <c r="I616" s="5">
        <v>61.030412032496663</v>
      </c>
    </row>
    <row r="617" spans="8:9" x14ac:dyDescent="0.25">
      <c r="H617" s="15" t="s">
        <v>24</v>
      </c>
      <c r="I617" s="5">
        <v>62.45703968254</v>
      </c>
    </row>
    <row r="618" spans="8:9" x14ac:dyDescent="0.25">
      <c r="H618" s="15" t="s">
        <v>25</v>
      </c>
      <c r="I618" s="5">
        <v>59.704921052629999</v>
      </c>
    </row>
    <row r="619" spans="8:9" x14ac:dyDescent="0.25">
      <c r="H619" s="15" t="s">
        <v>26</v>
      </c>
      <c r="I619" s="5">
        <v>60.929275362319999</v>
      </c>
    </row>
    <row r="620" spans="8:9" x14ac:dyDescent="0.25">
      <c r="H620" s="14">
        <v>2</v>
      </c>
      <c r="I620" s="5">
        <v>68.312225060160003</v>
      </c>
    </row>
    <row r="621" spans="8:9" x14ac:dyDescent="0.25">
      <c r="H621" s="15" t="s">
        <v>27</v>
      </c>
      <c r="I621" s="5">
        <v>67.970575048729998</v>
      </c>
    </row>
    <row r="622" spans="8:9" x14ac:dyDescent="0.25">
      <c r="H622" s="15" t="s">
        <v>28</v>
      </c>
      <c r="I622" s="5">
        <v>68.675948616599996</v>
      </c>
    </row>
    <row r="623" spans="8:9" x14ac:dyDescent="0.25">
      <c r="H623" s="15" t="s">
        <v>29</v>
      </c>
      <c r="I623" s="5">
        <v>68.290151515150001</v>
      </c>
    </row>
    <row r="624" spans="8:9" x14ac:dyDescent="0.25">
      <c r="H624" s="14">
        <v>3</v>
      </c>
      <c r="I624" s="5">
        <v>68.794423897906668</v>
      </c>
    </row>
    <row r="625" spans="8:9" x14ac:dyDescent="0.25">
      <c r="H625" s="15" t="s">
        <v>30</v>
      </c>
      <c r="I625" s="5">
        <v>72.450133667499998</v>
      </c>
    </row>
    <row r="626" spans="8:9" x14ac:dyDescent="0.25">
      <c r="H626" s="15" t="s">
        <v>31</v>
      </c>
      <c r="I626" s="5">
        <v>71.811884057970005</v>
      </c>
    </row>
    <row r="627" spans="8:9" x14ac:dyDescent="0.25">
      <c r="H627" s="15" t="s">
        <v>32</v>
      </c>
      <c r="I627" s="5">
        <v>62.121253968250002</v>
      </c>
    </row>
    <row r="628" spans="8:9" x14ac:dyDescent="0.25">
      <c r="H628" s="14">
        <v>4</v>
      </c>
      <c r="I628" s="5">
        <v>59.015975570239995</v>
      </c>
    </row>
    <row r="629" spans="8:9" x14ac:dyDescent="0.25">
      <c r="H629" s="15" t="s">
        <v>33</v>
      </c>
      <c r="I629" s="5">
        <v>57.910468975470003</v>
      </c>
    </row>
    <row r="630" spans="8:9" x14ac:dyDescent="0.25">
      <c r="H630" s="15" t="s">
        <v>34</v>
      </c>
      <c r="I630" s="5">
        <v>58.143045454549998</v>
      </c>
    </row>
    <row r="631" spans="8:9" x14ac:dyDescent="0.25">
      <c r="H631" s="15" t="s">
        <v>35</v>
      </c>
      <c r="I631" s="5">
        <v>60.994412280699997</v>
      </c>
    </row>
    <row r="632" spans="8:9" x14ac:dyDescent="0.25">
      <c r="H632" s="2">
        <v>2007</v>
      </c>
      <c r="I632" s="5">
        <v>71.116559010064165</v>
      </c>
    </row>
    <row r="633" spans="8:9" x14ac:dyDescent="0.25">
      <c r="H633" s="14">
        <v>1</v>
      </c>
      <c r="I633" s="5">
        <v>57.226439393940005</v>
      </c>
    </row>
    <row r="634" spans="8:9" x14ac:dyDescent="0.25">
      <c r="H634" s="15" t="s">
        <v>24</v>
      </c>
      <c r="I634" s="5">
        <v>53.516969696970001</v>
      </c>
    </row>
    <row r="635" spans="8:9" x14ac:dyDescent="0.25">
      <c r="H635" s="15" t="s">
        <v>25</v>
      </c>
      <c r="I635" s="5">
        <v>57.5625</v>
      </c>
    </row>
    <row r="636" spans="8:9" x14ac:dyDescent="0.25">
      <c r="H636" s="15" t="s">
        <v>26</v>
      </c>
      <c r="I636" s="5">
        <v>60.59984848485</v>
      </c>
    </row>
    <row r="637" spans="8:9" x14ac:dyDescent="0.25">
      <c r="H637" s="14">
        <v>2</v>
      </c>
      <c r="I637" s="5">
        <v>66.134331713673348</v>
      </c>
    </row>
    <row r="638" spans="8:9" x14ac:dyDescent="0.25">
      <c r="H638" s="15" t="s">
        <v>27</v>
      </c>
      <c r="I638" s="5">
        <v>65.057640350880007</v>
      </c>
    </row>
    <row r="639" spans="8:9" x14ac:dyDescent="0.25">
      <c r="H639" s="15" t="s">
        <v>28</v>
      </c>
      <c r="I639" s="5">
        <v>65.157259552040003</v>
      </c>
    </row>
    <row r="640" spans="8:9" x14ac:dyDescent="0.25">
      <c r="H640" s="15" t="s">
        <v>29</v>
      </c>
      <c r="I640" s="5">
        <v>68.188095238100004</v>
      </c>
    </row>
    <row r="641" spans="8:9" x14ac:dyDescent="0.25">
      <c r="H641" s="14">
        <v>3</v>
      </c>
      <c r="I641" s="5">
        <v>73.496981905796673</v>
      </c>
    </row>
    <row r="642" spans="8:9" x14ac:dyDescent="0.25">
      <c r="H642" s="15" t="s">
        <v>30</v>
      </c>
      <c r="I642" s="5">
        <v>73.601695526699999</v>
      </c>
    </row>
    <row r="643" spans="8:9" x14ac:dyDescent="0.25">
      <c r="H643" s="15" t="s">
        <v>31</v>
      </c>
      <c r="I643" s="5">
        <v>70.126811594200007</v>
      </c>
    </row>
    <row r="644" spans="8:9" x14ac:dyDescent="0.25">
      <c r="H644" s="15" t="s">
        <v>32</v>
      </c>
      <c r="I644" s="5">
        <v>76.76243859649</v>
      </c>
    </row>
    <row r="645" spans="8:9" x14ac:dyDescent="0.25">
      <c r="H645" s="14">
        <v>4</v>
      </c>
      <c r="I645" s="5">
        <v>87.60848302684667</v>
      </c>
    </row>
    <row r="646" spans="8:9" x14ac:dyDescent="0.25">
      <c r="H646" s="15" t="s">
        <v>33</v>
      </c>
      <c r="I646" s="5">
        <v>81.967246376809996</v>
      </c>
    </row>
    <row r="647" spans="8:9" x14ac:dyDescent="0.25">
      <c r="H647" s="15" t="s">
        <v>34</v>
      </c>
      <c r="I647" s="5">
        <v>91.338261183260002</v>
      </c>
    </row>
    <row r="648" spans="8:9" x14ac:dyDescent="0.25">
      <c r="H648" s="15" t="s">
        <v>35</v>
      </c>
      <c r="I648" s="5">
        <v>89.519941520469999</v>
      </c>
    </row>
    <row r="649" spans="8:9" x14ac:dyDescent="0.25">
      <c r="H649" s="2">
        <v>2008</v>
      </c>
      <c r="I649" s="5">
        <v>96.99045375846417</v>
      </c>
    </row>
    <row r="650" spans="8:9" x14ac:dyDescent="0.25">
      <c r="H650" s="14">
        <v>1</v>
      </c>
      <c r="I650" s="5">
        <v>95.306786347179994</v>
      </c>
    </row>
    <row r="651" spans="8:9" x14ac:dyDescent="0.25">
      <c r="H651" s="15" t="s">
        <v>24</v>
      </c>
      <c r="I651" s="5">
        <v>90.689935064940002</v>
      </c>
    </row>
    <row r="652" spans="8:9" x14ac:dyDescent="0.25">
      <c r="H652" s="15" t="s">
        <v>25</v>
      </c>
      <c r="I652" s="5">
        <v>93.387590643270002</v>
      </c>
    </row>
    <row r="653" spans="8:9" x14ac:dyDescent="0.25">
      <c r="H653" s="15" t="s">
        <v>26</v>
      </c>
      <c r="I653" s="5">
        <v>101.84283333333001</v>
      </c>
    </row>
    <row r="654" spans="8:9" x14ac:dyDescent="0.25">
      <c r="H654" s="14">
        <v>2</v>
      </c>
      <c r="I654" s="5">
        <v>120.97063395863334</v>
      </c>
    </row>
    <row r="655" spans="8:9" x14ac:dyDescent="0.25">
      <c r="H655" s="15" t="s">
        <v>27</v>
      </c>
      <c r="I655" s="5">
        <v>108.75818181818001</v>
      </c>
    </row>
    <row r="656" spans="8:9" x14ac:dyDescent="0.25">
      <c r="H656" s="15" t="s">
        <v>28</v>
      </c>
      <c r="I656" s="5">
        <v>122.63260894661001</v>
      </c>
    </row>
    <row r="657" spans="8:9" x14ac:dyDescent="0.25">
      <c r="H657" s="15" t="s">
        <v>29</v>
      </c>
      <c r="I657" s="5">
        <v>131.52111111111</v>
      </c>
    </row>
    <row r="658" spans="8:9" x14ac:dyDescent="0.25">
      <c r="H658" s="14">
        <v>3</v>
      </c>
      <c r="I658" s="5">
        <v>115.68292584227667</v>
      </c>
    </row>
    <row r="659" spans="8:9" x14ac:dyDescent="0.25">
      <c r="H659" s="15" t="s">
        <v>30</v>
      </c>
      <c r="I659" s="5">
        <v>132.82518445323001</v>
      </c>
    </row>
    <row r="660" spans="8:9" x14ac:dyDescent="0.25">
      <c r="H660" s="15" t="s">
        <v>31</v>
      </c>
      <c r="I660" s="5">
        <v>114.56682539683</v>
      </c>
    </row>
    <row r="661" spans="8:9" x14ac:dyDescent="0.25">
      <c r="H661" s="15" t="s">
        <v>32</v>
      </c>
      <c r="I661" s="5">
        <v>99.656767676770002</v>
      </c>
    </row>
    <row r="662" spans="8:9" x14ac:dyDescent="0.25">
      <c r="H662" s="14">
        <v>4</v>
      </c>
      <c r="I662" s="5">
        <v>56.001468885766663</v>
      </c>
    </row>
    <row r="663" spans="8:9" x14ac:dyDescent="0.25">
      <c r="H663" s="15" t="s">
        <v>33</v>
      </c>
      <c r="I663" s="5">
        <v>72.692753623190001</v>
      </c>
    </row>
    <row r="664" spans="8:9" x14ac:dyDescent="0.25">
      <c r="H664" s="15" t="s">
        <v>34</v>
      </c>
      <c r="I664" s="5">
        <v>53.972728070179997</v>
      </c>
    </row>
    <row r="665" spans="8:9" x14ac:dyDescent="0.25">
      <c r="H665" s="15" t="s">
        <v>35</v>
      </c>
      <c r="I665" s="5">
        <v>41.338924963929998</v>
      </c>
    </row>
    <row r="666" spans="8:9" x14ac:dyDescent="0.25">
      <c r="H666" s="2">
        <v>2009</v>
      </c>
      <c r="I666" s="5">
        <v>61.756922215508332</v>
      </c>
    </row>
    <row r="667" spans="8:9" x14ac:dyDescent="0.25">
      <c r="H667" s="14">
        <v>1</v>
      </c>
      <c r="I667" s="5">
        <v>44.114730918203328</v>
      </c>
    </row>
    <row r="668" spans="8:9" x14ac:dyDescent="0.25">
      <c r="H668" s="15" t="s">
        <v>24</v>
      </c>
      <c r="I668" s="5">
        <v>43.855214285709998</v>
      </c>
    </row>
    <row r="669" spans="8:9" x14ac:dyDescent="0.25">
      <c r="H669" s="15" t="s">
        <v>25</v>
      </c>
      <c r="I669" s="5">
        <v>41.843675438600002</v>
      </c>
    </row>
    <row r="670" spans="8:9" x14ac:dyDescent="0.25">
      <c r="H670" s="15" t="s">
        <v>26</v>
      </c>
      <c r="I670" s="5">
        <v>46.645303030299999</v>
      </c>
    </row>
    <row r="671" spans="8:9" x14ac:dyDescent="0.25">
      <c r="H671" s="14">
        <v>2</v>
      </c>
      <c r="I671" s="5">
        <v>59.193893698896666</v>
      </c>
    </row>
    <row r="672" spans="8:9" x14ac:dyDescent="0.25">
      <c r="H672" s="15" t="s">
        <v>27</v>
      </c>
      <c r="I672" s="5">
        <v>50.278095238100001</v>
      </c>
    </row>
    <row r="673" spans="8:9" x14ac:dyDescent="0.25">
      <c r="H673" s="15" t="s">
        <v>28</v>
      </c>
      <c r="I673" s="5">
        <v>58.153888888890002</v>
      </c>
    </row>
    <row r="674" spans="8:9" x14ac:dyDescent="0.25">
      <c r="H674" s="15" t="s">
        <v>29</v>
      </c>
      <c r="I674" s="5">
        <v>69.149696969700003</v>
      </c>
    </row>
    <row r="675" spans="8:9" x14ac:dyDescent="0.25">
      <c r="H675" s="14">
        <v>3</v>
      </c>
      <c r="I675" s="5">
        <v>68.214155635023346</v>
      </c>
    </row>
    <row r="676" spans="8:9" x14ac:dyDescent="0.25">
      <c r="H676" s="15" t="s">
        <v>30</v>
      </c>
      <c r="I676" s="5">
        <v>64.666673254279999</v>
      </c>
    </row>
    <row r="677" spans="8:9" x14ac:dyDescent="0.25">
      <c r="H677" s="15" t="s">
        <v>31</v>
      </c>
      <c r="I677" s="5">
        <v>71.629682539680005</v>
      </c>
    </row>
    <row r="678" spans="8:9" x14ac:dyDescent="0.25">
      <c r="H678" s="15" t="s">
        <v>32</v>
      </c>
      <c r="I678" s="5">
        <v>68.346111111110005</v>
      </c>
    </row>
    <row r="679" spans="8:9" x14ac:dyDescent="0.25">
      <c r="H679" s="14">
        <v>4</v>
      </c>
      <c r="I679" s="5">
        <v>75.50490860990999</v>
      </c>
    </row>
    <row r="680" spans="8:9" x14ac:dyDescent="0.25">
      <c r="H680" s="15" t="s">
        <v>33</v>
      </c>
      <c r="I680" s="5">
        <v>74.080606060609995</v>
      </c>
    </row>
    <row r="681" spans="8:9" x14ac:dyDescent="0.25">
      <c r="H681" s="15" t="s">
        <v>34</v>
      </c>
      <c r="I681" s="5">
        <v>77.552301587299993</v>
      </c>
    </row>
    <row r="682" spans="8:9" x14ac:dyDescent="0.25">
      <c r="H682" s="15" t="s">
        <v>35</v>
      </c>
      <c r="I682" s="5">
        <v>74.881818181819995</v>
      </c>
    </row>
    <row r="683" spans="8:9" x14ac:dyDescent="0.25">
      <c r="H683" s="2">
        <v>2010</v>
      </c>
      <c r="I683" s="5">
        <v>79.040771784717506</v>
      </c>
    </row>
    <row r="684" spans="8:9" x14ac:dyDescent="0.25">
      <c r="H684" s="14">
        <v>1</v>
      </c>
      <c r="I684" s="5">
        <v>77.060594824419994</v>
      </c>
    </row>
    <row r="685" spans="8:9" x14ac:dyDescent="0.25">
      <c r="H685" s="15" t="s">
        <v>24</v>
      </c>
      <c r="I685" s="5">
        <v>77.121087719299993</v>
      </c>
    </row>
    <row r="686" spans="8:9" x14ac:dyDescent="0.25">
      <c r="H686" s="15" t="s">
        <v>25</v>
      </c>
      <c r="I686" s="5">
        <v>74.763015594539993</v>
      </c>
    </row>
    <row r="687" spans="8:9" x14ac:dyDescent="0.25">
      <c r="H687" s="15" t="s">
        <v>26</v>
      </c>
      <c r="I687" s="5">
        <v>79.297681159419994</v>
      </c>
    </row>
    <row r="688" spans="8:9" x14ac:dyDescent="0.25">
      <c r="H688" s="14">
        <v>2</v>
      </c>
      <c r="I688" s="5">
        <v>78.175391534393341</v>
      </c>
    </row>
    <row r="689" spans="8:9" x14ac:dyDescent="0.25">
      <c r="H689" s="15" t="s">
        <v>27</v>
      </c>
      <c r="I689" s="5">
        <v>84.182857142860001</v>
      </c>
    </row>
    <row r="690" spans="8:9" x14ac:dyDescent="0.25">
      <c r="H690" s="15" t="s">
        <v>28</v>
      </c>
      <c r="I690" s="5">
        <v>75.61831746032</v>
      </c>
    </row>
    <row r="691" spans="8:9" x14ac:dyDescent="0.25">
      <c r="H691" s="15" t="s">
        <v>29</v>
      </c>
      <c r="I691" s="5">
        <v>74.724999999999994</v>
      </c>
    </row>
    <row r="692" spans="8:9" x14ac:dyDescent="0.25">
      <c r="H692" s="14">
        <v>3</v>
      </c>
      <c r="I692" s="5">
        <v>75.507303992303335</v>
      </c>
    </row>
    <row r="693" spans="8:9" x14ac:dyDescent="0.25">
      <c r="H693" s="15" t="s">
        <v>30</v>
      </c>
      <c r="I693" s="5">
        <v>74.579401154400003</v>
      </c>
    </row>
    <row r="694" spans="8:9" x14ac:dyDescent="0.25">
      <c r="H694" s="15" t="s">
        <v>31</v>
      </c>
      <c r="I694" s="5">
        <v>75.826269841270005</v>
      </c>
    </row>
    <row r="695" spans="8:9" x14ac:dyDescent="0.25">
      <c r="H695" s="15" t="s">
        <v>32</v>
      </c>
      <c r="I695" s="5">
        <v>76.116240981239997</v>
      </c>
    </row>
    <row r="696" spans="8:9" x14ac:dyDescent="0.25">
      <c r="H696" s="14">
        <v>4</v>
      </c>
      <c r="I696" s="5">
        <v>85.419796787753327</v>
      </c>
    </row>
    <row r="697" spans="8:9" x14ac:dyDescent="0.25">
      <c r="H697" s="15" t="s">
        <v>33</v>
      </c>
      <c r="I697" s="5">
        <v>81.719365079369993</v>
      </c>
    </row>
    <row r="698" spans="8:9" x14ac:dyDescent="0.25">
      <c r="H698" s="15" t="s">
        <v>34</v>
      </c>
      <c r="I698" s="5">
        <v>84.53406349206</v>
      </c>
    </row>
    <row r="699" spans="8:9" x14ac:dyDescent="0.25">
      <c r="H699" s="15" t="s">
        <v>35</v>
      </c>
      <c r="I699" s="5">
        <v>90.005961791830003</v>
      </c>
    </row>
    <row r="700" spans="8:9" x14ac:dyDescent="0.25">
      <c r="H700" s="2">
        <v>2011</v>
      </c>
      <c r="I700" s="5">
        <v>104.00939752552584</v>
      </c>
    </row>
    <row r="701" spans="8:9" x14ac:dyDescent="0.25">
      <c r="H701" s="14">
        <v>1</v>
      </c>
      <c r="I701" s="5">
        <v>99.750001545733326</v>
      </c>
    </row>
    <row r="702" spans="8:9" x14ac:dyDescent="0.25">
      <c r="H702" s="15" t="s">
        <v>24</v>
      </c>
      <c r="I702" s="5">
        <v>92.690595238100002</v>
      </c>
    </row>
    <row r="703" spans="8:9" x14ac:dyDescent="0.25">
      <c r="H703" s="15" t="s">
        <v>25</v>
      </c>
      <c r="I703" s="5">
        <v>97.914192007799997</v>
      </c>
    </row>
    <row r="704" spans="8:9" x14ac:dyDescent="0.25">
      <c r="H704" s="15" t="s">
        <v>26</v>
      </c>
      <c r="I704" s="5">
        <v>108.64521739129999</v>
      </c>
    </row>
    <row r="705" spans="8:9" x14ac:dyDescent="0.25">
      <c r="H705" s="14">
        <v>2</v>
      </c>
      <c r="I705" s="5">
        <v>110.05237806638002</v>
      </c>
    </row>
    <row r="706" spans="8:9" x14ac:dyDescent="0.25">
      <c r="H706" s="15" t="s">
        <v>27</v>
      </c>
      <c r="I706" s="5">
        <v>116.24316666667001</v>
      </c>
    </row>
    <row r="707" spans="8:9" x14ac:dyDescent="0.25">
      <c r="H707" s="15" t="s">
        <v>28</v>
      </c>
      <c r="I707" s="5">
        <v>108.06851298701</v>
      </c>
    </row>
    <row r="708" spans="8:9" x14ac:dyDescent="0.25">
      <c r="H708" s="15" t="s">
        <v>29</v>
      </c>
      <c r="I708" s="5">
        <v>105.84545454546</v>
      </c>
    </row>
    <row r="709" spans="8:9" x14ac:dyDescent="0.25">
      <c r="H709" s="14">
        <v>3</v>
      </c>
      <c r="I709" s="5">
        <v>103.07412896040999</v>
      </c>
    </row>
    <row r="710" spans="8:9" x14ac:dyDescent="0.25">
      <c r="H710" s="15" t="s">
        <v>30</v>
      </c>
      <c r="I710" s="5">
        <v>107.91661111111</v>
      </c>
    </row>
    <row r="711" spans="8:9" x14ac:dyDescent="0.25">
      <c r="H711" s="15" t="s">
        <v>31</v>
      </c>
      <c r="I711" s="5">
        <v>100.48642512076999</v>
      </c>
    </row>
    <row r="712" spans="8:9" x14ac:dyDescent="0.25">
      <c r="H712" s="15" t="s">
        <v>32</v>
      </c>
      <c r="I712" s="5">
        <v>100.81935064935</v>
      </c>
    </row>
    <row r="713" spans="8:9" x14ac:dyDescent="0.25">
      <c r="H713" s="14">
        <v>4</v>
      </c>
      <c r="I713" s="5">
        <v>103.16108152958002</v>
      </c>
    </row>
    <row r="714" spans="8:9" x14ac:dyDescent="0.25">
      <c r="H714" s="15" t="s">
        <v>33</v>
      </c>
      <c r="I714" s="5">
        <v>99.847753968250004</v>
      </c>
    </row>
    <row r="715" spans="8:9" x14ac:dyDescent="0.25">
      <c r="H715" s="15" t="s">
        <v>34</v>
      </c>
      <c r="I715" s="5">
        <v>105.40501443001</v>
      </c>
    </row>
    <row r="716" spans="8:9" x14ac:dyDescent="0.25">
      <c r="H716" s="15" t="s">
        <v>35</v>
      </c>
      <c r="I716" s="5">
        <v>104.23047619048</v>
      </c>
    </row>
    <row r="717" spans="8:9" x14ac:dyDescent="0.25">
      <c r="H717" s="2">
        <v>2012</v>
      </c>
      <c r="I717" s="5">
        <v>105.00962888487668</v>
      </c>
    </row>
    <row r="718" spans="8:9" x14ac:dyDescent="0.25">
      <c r="H718" s="14">
        <v>1</v>
      </c>
      <c r="I718" s="5">
        <v>112.51569869117002</v>
      </c>
    </row>
    <row r="719" spans="8:9" x14ac:dyDescent="0.25">
      <c r="H719" s="15" t="s">
        <v>24</v>
      </c>
      <c r="I719" s="5">
        <v>107.07457226399001</v>
      </c>
    </row>
    <row r="720" spans="8:9" x14ac:dyDescent="0.25">
      <c r="H720" s="15" t="s">
        <v>25</v>
      </c>
      <c r="I720" s="5">
        <v>112.68752380952</v>
      </c>
    </row>
    <row r="721" spans="8:9" x14ac:dyDescent="0.25">
      <c r="H721" s="15" t="s">
        <v>26</v>
      </c>
      <c r="I721" s="5">
        <v>117.785</v>
      </c>
    </row>
    <row r="722" spans="8:9" x14ac:dyDescent="0.25">
      <c r="H722" s="14">
        <v>2</v>
      </c>
      <c r="I722" s="5">
        <v>102.82659607461666</v>
      </c>
    </row>
    <row r="723" spans="8:9" x14ac:dyDescent="0.25">
      <c r="H723" s="15" t="s">
        <v>27</v>
      </c>
      <c r="I723" s="5">
        <v>113.66549999999999</v>
      </c>
    </row>
    <row r="724" spans="8:9" x14ac:dyDescent="0.25">
      <c r="H724" s="15" t="s">
        <v>28</v>
      </c>
      <c r="I724" s="5">
        <v>104.0860342556</v>
      </c>
    </row>
    <row r="725" spans="8:9" x14ac:dyDescent="0.25">
      <c r="H725" s="15" t="s">
        <v>29</v>
      </c>
      <c r="I725" s="5">
        <v>90.728253968250002</v>
      </c>
    </row>
    <row r="726" spans="8:9" x14ac:dyDescent="0.25">
      <c r="H726" s="14">
        <v>3</v>
      </c>
      <c r="I726" s="5">
        <v>102.77090481914001</v>
      </c>
    </row>
    <row r="727" spans="8:9" x14ac:dyDescent="0.25">
      <c r="H727" s="15" t="s">
        <v>30</v>
      </c>
      <c r="I727" s="5">
        <v>96.754112554109994</v>
      </c>
    </row>
    <row r="728" spans="8:9" x14ac:dyDescent="0.25">
      <c r="H728" s="15" t="s">
        <v>31</v>
      </c>
      <c r="I728" s="5">
        <v>105.27363699103</v>
      </c>
    </row>
    <row r="729" spans="8:9" x14ac:dyDescent="0.25">
      <c r="H729" s="15" t="s">
        <v>32</v>
      </c>
      <c r="I729" s="5">
        <v>106.28496491228</v>
      </c>
    </row>
    <row r="730" spans="8:9" x14ac:dyDescent="0.25">
      <c r="H730" s="14">
        <v>4</v>
      </c>
      <c r="I730" s="5">
        <v>101.92531595458001</v>
      </c>
    </row>
    <row r="731" spans="8:9" x14ac:dyDescent="0.25">
      <c r="H731" s="15" t="s">
        <v>33</v>
      </c>
      <c r="I731" s="5">
        <v>103.40786561265</v>
      </c>
    </row>
    <row r="732" spans="8:9" x14ac:dyDescent="0.25">
      <c r="H732" s="15" t="s">
        <v>34</v>
      </c>
      <c r="I732" s="5">
        <v>101.17441558442</v>
      </c>
    </row>
    <row r="733" spans="8:9" x14ac:dyDescent="0.25">
      <c r="H733" s="15" t="s">
        <v>35</v>
      </c>
      <c r="I733" s="5">
        <v>101.19366666667</v>
      </c>
    </row>
    <row r="734" spans="8:9" x14ac:dyDescent="0.25">
      <c r="H734" s="2">
        <v>2013</v>
      </c>
      <c r="I734" s="5">
        <v>104.07749749758752</v>
      </c>
    </row>
    <row r="735" spans="8:9" x14ac:dyDescent="0.25">
      <c r="H735" s="14">
        <v>1</v>
      </c>
      <c r="I735" s="5">
        <v>105.08671737424667</v>
      </c>
    </row>
    <row r="736" spans="8:9" x14ac:dyDescent="0.25">
      <c r="H736" s="15" t="s">
        <v>24</v>
      </c>
      <c r="I736" s="5">
        <v>105.10021645022</v>
      </c>
    </row>
    <row r="737" spans="8:9" x14ac:dyDescent="0.25">
      <c r="H737" s="15" t="s">
        <v>25</v>
      </c>
      <c r="I737" s="5">
        <v>107.63743567252</v>
      </c>
    </row>
    <row r="738" spans="8:9" x14ac:dyDescent="0.25">
      <c r="H738" s="15" t="s">
        <v>26</v>
      </c>
      <c r="I738" s="5">
        <v>102.52249999999999</v>
      </c>
    </row>
    <row r="739" spans="8:9" x14ac:dyDescent="0.25">
      <c r="H739" s="14">
        <v>2</v>
      </c>
      <c r="I739" s="5">
        <v>99.320423259509994</v>
      </c>
    </row>
    <row r="740" spans="8:9" x14ac:dyDescent="0.25">
      <c r="H740" s="15" t="s">
        <v>27</v>
      </c>
      <c r="I740" s="5">
        <v>98.851969696970002</v>
      </c>
    </row>
    <row r="741" spans="8:9" x14ac:dyDescent="0.25">
      <c r="H741" s="15" t="s">
        <v>28</v>
      </c>
      <c r="I741" s="5">
        <v>99.366633414890003</v>
      </c>
    </row>
    <row r="742" spans="8:9" x14ac:dyDescent="0.25">
      <c r="H742" s="15" t="s">
        <v>29</v>
      </c>
      <c r="I742" s="5">
        <v>99.742666666670004</v>
      </c>
    </row>
    <row r="743" spans="8:9" x14ac:dyDescent="0.25">
      <c r="H743" s="14">
        <v>3</v>
      </c>
      <c r="I743" s="5">
        <v>107.39109055357</v>
      </c>
    </row>
    <row r="744" spans="8:9" x14ac:dyDescent="0.25">
      <c r="H744" s="15" t="s">
        <v>30</v>
      </c>
      <c r="I744" s="5">
        <v>105.25790513834001</v>
      </c>
    </row>
    <row r="745" spans="8:9" x14ac:dyDescent="0.25">
      <c r="H745" s="15" t="s">
        <v>31</v>
      </c>
      <c r="I745" s="5">
        <v>108.15763636363999</v>
      </c>
    </row>
    <row r="746" spans="8:9" x14ac:dyDescent="0.25">
      <c r="H746" s="15" t="s">
        <v>32</v>
      </c>
      <c r="I746" s="5">
        <v>108.75773015873</v>
      </c>
    </row>
    <row r="747" spans="8:9" x14ac:dyDescent="0.25">
      <c r="H747" s="14">
        <v>4</v>
      </c>
      <c r="I747" s="5">
        <v>104.51175880302333</v>
      </c>
    </row>
    <row r="748" spans="8:9" x14ac:dyDescent="0.25">
      <c r="H748" s="15" t="s">
        <v>33</v>
      </c>
      <c r="I748" s="5">
        <v>105.42713438734999</v>
      </c>
    </row>
    <row r="749" spans="8:9" x14ac:dyDescent="0.25">
      <c r="H749" s="15" t="s">
        <v>34</v>
      </c>
      <c r="I749" s="5">
        <v>102.62649122806999</v>
      </c>
    </row>
    <row r="750" spans="8:9" x14ac:dyDescent="0.25">
      <c r="H750" s="15" t="s">
        <v>35</v>
      </c>
      <c r="I750" s="5">
        <v>105.48165079365</v>
      </c>
    </row>
    <row r="751" spans="8:9" x14ac:dyDescent="0.25">
      <c r="H751" s="2">
        <v>2014</v>
      </c>
      <c r="I751" s="5">
        <v>96.234999999999999</v>
      </c>
    </row>
    <row r="752" spans="8:9" x14ac:dyDescent="0.25">
      <c r="H752" s="14">
        <v>1</v>
      </c>
      <c r="I752" s="5">
        <v>103.65444444444667</v>
      </c>
    </row>
    <row r="753" spans="8:9" x14ac:dyDescent="0.25">
      <c r="H753" s="15" t="s">
        <v>24</v>
      </c>
      <c r="I753" s="5">
        <v>102.09666666667</v>
      </c>
    </row>
    <row r="754" spans="8:9" x14ac:dyDescent="0.25">
      <c r="H754" s="15" t="s">
        <v>25</v>
      </c>
      <c r="I754" s="5">
        <v>104.82666666666999</v>
      </c>
    </row>
    <row r="755" spans="8:9" x14ac:dyDescent="0.25">
      <c r="H755" s="15" t="s">
        <v>26</v>
      </c>
      <c r="I755" s="5">
        <v>104.04</v>
      </c>
    </row>
    <row r="756" spans="8:9" x14ac:dyDescent="0.25">
      <c r="H756" s="14">
        <v>2</v>
      </c>
      <c r="I756" s="5">
        <v>106.31777777777666</v>
      </c>
    </row>
    <row r="757" spans="8:9" x14ac:dyDescent="0.25">
      <c r="H757" s="15" t="s">
        <v>27</v>
      </c>
      <c r="I757" s="5">
        <v>104.86666666667</v>
      </c>
    </row>
    <row r="758" spans="8:9" x14ac:dyDescent="0.25">
      <c r="H758" s="15" t="s">
        <v>28</v>
      </c>
      <c r="I758" s="5">
        <v>105.71333333333</v>
      </c>
    </row>
    <row r="759" spans="8:9" x14ac:dyDescent="0.25">
      <c r="H759" s="15" t="s">
        <v>29</v>
      </c>
      <c r="I759" s="5">
        <v>108.37333333333</v>
      </c>
    </row>
    <row r="760" spans="8:9" x14ac:dyDescent="0.25">
      <c r="H760" s="14">
        <v>3</v>
      </c>
      <c r="I760" s="5">
        <v>100.37555555555666</v>
      </c>
    </row>
    <row r="761" spans="8:9" x14ac:dyDescent="0.25">
      <c r="H761" s="15" t="s">
        <v>30</v>
      </c>
      <c r="I761" s="5">
        <v>105.22666666667</v>
      </c>
    </row>
    <row r="762" spans="8:9" x14ac:dyDescent="0.25">
      <c r="H762" s="15" t="s">
        <v>31</v>
      </c>
      <c r="I762" s="5">
        <v>100.05</v>
      </c>
    </row>
    <row r="763" spans="8:9" x14ac:dyDescent="0.25">
      <c r="H763" s="15" t="s">
        <v>32</v>
      </c>
      <c r="I763" s="5">
        <v>95.85</v>
      </c>
    </row>
    <row r="764" spans="8:9" x14ac:dyDescent="0.25">
      <c r="H764" s="14">
        <v>4</v>
      </c>
      <c r="I764" s="5">
        <v>74.592222222220002</v>
      </c>
    </row>
    <row r="765" spans="8:9" x14ac:dyDescent="0.25">
      <c r="H765" s="15" t="s">
        <v>33</v>
      </c>
      <c r="I765" s="5">
        <v>86.08</v>
      </c>
    </row>
    <row r="766" spans="8:9" x14ac:dyDescent="0.25">
      <c r="H766" s="15" t="s">
        <v>34</v>
      </c>
      <c r="I766" s="5">
        <v>76.99333333333</v>
      </c>
    </row>
    <row r="767" spans="8:9" x14ac:dyDescent="0.25">
      <c r="H767" s="15" t="s">
        <v>35</v>
      </c>
      <c r="I767" s="5">
        <v>60.703333333330001</v>
      </c>
    </row>
    <row r="768" spans="8:9" x14ac:dyDescent="0.25">
      <c r="H768" s="2">
        <v>2015</v>
      </c>
      <c r="I768" s="5">
        <v>50.752777777778341</v>
      </c>
    </row>
    <row r="769" spans="8:9" x14ac:dyDescent="0.25">
      <c r="H769" s="14">
        <v>1</v>
      </c>
      <c r="I769" s="5">
        <v>51.574444444446669</v>
      </c>
    </row>
    <row r="770" spans="8:9" x14ac:dyDescent="0.25">
      <c r="H770" s="15" t="s">
        <v>24</v>
      </c>
      <c r="I770" s="5">
        <v>47.106666666670002</v>
      </c>
    </row>
    <row r="771" spans="8:9" x14ac:dyDescent="0.25">
      <c r="H771" s="15" t="s">
        <v>25</v>
      </c>
      <c r="I771" s="5">
        <v>54.79</v>
      </c>
    </row>
    <row r="772" spans="8:9" x14ac:dyDescent="0.25">
      <c r="H772" s="15" t="s">
        <v>26</v>
      </c>
      <c r="I772" s="5">
        <v>52.82666666667</v>
      </c>
    </row>
    <row r="773" spans="8:9" x14ac:dyDescent="0.25">
      <c r="H773" s="14">
        <v>2</v>
      </c>
      <c r="I773" s="5">
        <v>60.452222222223327</v>
      </c>
    </row>
    <row r="774" spans="8:9" x14ac:dyDescent="0.25">
      <c r="H774" s="15" t="s">
        <v>27</v>
      </c>
      <c r="I774" s="5">
        <v>57.543333333329997</v>
      </c>
    </row>
    <row r="775" spans="8:9" x14ac:dyDescent="0.25">
      <c r="H775" s="15" t="s">
        <v>28</v>
      </c>
      <c r="I775" s="5">
        <v>62.50666666667</v>
      </c>
    </row>
    <row r="776" spans="8:9" x14ac:dyDescent="0.25">
      <c r="H776" s="15" t="s">
        <v>29</v>
      </c>
      <c r="I776" s="5">
        <v>61.306666666669997</v>
      </c>
    </row>
    <row r="777" spans="8:9" x14ac:dyDescent="0.25">
      <c r="H777" s="14">
        <v>3</v>
      </c>
      <c r="I777" s="5">
        <v>48.77</v>
      </c>
    </row>
    <row r="778" spans="8:9" x14ac:dyDescent="0.25">
      <c r="H778" s="15" t="s">
        <v>30</v>
      </c>
      <c r="I778" s="5">
        <v>54.34</v>
      </c>
    </row>
    <row r="779" spans="8:9" x14ac:dyDescent="0.25">
      <c r="H779" s="15" t="s">
        <v>31</v>
      </c>
      <c r="I779" s="5">
        <v>45.69</v>
      </c>
    </row>
    <row r="780" spans="8:9" x14ac:dyDescent="0.25">
      <c r="H780" s="15" t="s">
        <v>32</v>
      </c>
      <c r="I780" s="5">
        <v>46.28</v>
      </c>
    </row>
    <row r="781" spans="8:9" x14ac:dyDescent="0.25">
      <c r="H781" s="14">
        <v>4</v>
      </c>
      <c r="I781" s="5">
        <v>42.21444444444333</v>
      </c>
    </row>
    <row r="782" spans="8:9" x14ac:dyDescent="0.25">
      <c r="H782" s="15" t="s">
        <v>33</v>
      </c>
      <c r="I782" s="5">
        <v>46.956666666670003</v>
      </c>
    </row>
    <row r="783" spans="8:9" x14ac:dyDescent="0.25">
      <c r="H783" s="15" t="s">
        <v>34</v>
      </c>
      <c r="I783" s="5">
        <v>43.113333333329997</v>
      </c>
    </row>
    <row r="784" spans="8:9" x14ac:dyDescent="0.25">
      <c r="H784" s="15" t="s">
        <v>35</v>
      </c>
      <c r="I784" s="5">
        <v>36.573333333329998</v>
      </c>
    </row>
    <row r="785" spans="8:9" x14ac:dyDescent="0.25">
      <c r="H785" s="2">
        <v>2016</v>
      </c>
      <c r="I785" s="5">
        <v>42.811944444444997</v>
      </c>
    </row>
    <row r="786" spans="8:9" x14ac:dyDescent="0.25">
      <c r="H786" s="14">
        <v>1</v>
      </c>
      <c r="I786" s="5">
        <v>32.716666666666669</v>
      </c>
    </row>
    <row r="787" spans="8:9" x14ac:dyDescent="0.25">
      <c r="H787" s="15" t="s">
        <v>24</v>
      </c>
      <c r="I787" s="5">
        <v>29.78</v>
      </c>
    </row>
    <row r="788" spans="8:9" x14ac:dyDescent="0.25">
      <c r="H788" s="15" t="s">
        <v>25</v>
      </c>
      <c r="I788" s="5">
        <v>31.03</v>
      </c>
    </row>
    <row r="789" spans="8:9" x14ac:dyDescent="0.25">
      <c r="H789" s="15" t="s">
        <v>26</v>
      </c>
      <c r="I789" s="5">
        <v>37.340000000000003</v>
      </c>
    </row>
    <row r="790" spans="8:9" x14ac:dyDescent="0.25">
      <c r="H790" s="14">
        <v>2</v>
      </c>
      <c r="I790" s="5">
        <v>44.791111111113331</v>
      </c>
    </row>
    <row r="791" spans="8:9" x14ac:dyDescent="0.25">
      <c r="H791" s="15" t="s">
        <v>27</v>
      </c>
      <c r="I791" s="5">
        <v>40.75</v>
      </c>
    </row>
    <row r="792" spans="8:9" x14ac:dyDescent="0.25">
      <c r="H792" s="15" t="s">
        <v>28</v>
      </c>
      <c r="I792" s="5">
        <v>45.93666666667</v>
      </c>
    </row>
    <row r="793" spans="8:9" x14ac:dyDescent="0.25">
      <c r="H793" s="15" t="s">
        <v>29</v>
      </c>
      <c r="I793" s="5">
        <v>47.68666666667</v>
      </c>
    </row>
    <row r="794" spans="8:9" x14ac:dyDescent="0.25">
      <c r="H794" s="14">
        <v>3</v>
      </c>
      <c r="I794" s="5">
        <v>44.682222222223324</v>
      </c>
    </row>
    <row r="795" spans="8:9" x14ac:dyDescent="0.25">
      <c r="H795" s="15" t="s">
        <v>30</v>
      </c>
      <c r="I795" s="5">
        <v>44.126666666669998</v>
      </c>
    </row>
    <row r="796" spans="8:9" x14ac:dyDescent="0.25">
      <c r="H796" s="15" t="s">
        <v>31</v>
      </c>
      <c r="I796" s="5">
        <v>44.876666666669998</v>
      </c>
    </row>
    <row r="797" spans="8:9" x14ac:dyDescent="0.25">
      <c r="H797" s="15" t="s">
        <v>32</v>
      </c>
      <c r="I797" s="5">
        <v>45.043333333329997</v>
      </c>
    </row>
    <row r="798" spans="8:9" x14ac:dyDescent="0.25">
      <c r="H798" s="14">
        <v>4</v>
      </c>
      <c r="I798" s="5">
        <v>49.057777777776664</v>
      </c>
    </row>
    <row r="799" spans="8:9" x14ac:dyDescent="0.25">
      <c r="H799" s="15" t="s">
        <v>33</v>
      </c>
      <c r="I799" s="5">
        <v>49.293333333329997</v>
      </c>
    </row>
    <row r="800" spans="8:9" x14ac:dyDescent="0.25">
      <c r="H800" s="15" t="s">
        <v>34</v>
      </c>
      <c r="I800" s="5">
        <v>45.26</v>
      </c>
    </row>
    <row r="801" spans="8:9" x14ac:dyDescent="0.25">
      <c r="H801" s="15" t="s">
        <v>35</v>
      </c>
      <c r="I801" s="5">
        <v>52.62</v>
      </c>
    </row>
    <row r="802" spans="8:9" x14ac:dyDescent="0.25">
      <c r="H802" s="2">
        <v>2017</v>
      </c>
      <c r="I802" s="5">
        <v>52.804999999999161</v>
      </c>
    </row>
    <row r="803" spans="8:9" x14ac:dyDescent="0.25">
      <c r="H803" s="14">
        <v>1</v>
      </c>
      <c r="I803" s="5">
        <v>52.948888888886671</v>
      </c>
    </row>
    <row r="804" spans="8:9" x14ac:dyDescent="0.25">
      <c r="H804" s="15" t="s">
        <v>24</v>
      </c>
      <c r="I804" s="5">
        <v>53.59</v>
      </c>
    </row>
    <row r="805" spans="8:9" x14ac:dyDescent="0.25">
      <c r="H805" s="15" t="s">
        <v>25</v>
      </c>
      <c r="I805" s="5">
        <v>54.353333333329999</v>
      </c>
    </row>
    <row r="806" spans="8:9" x14ac:dyDescent="0.25">
      <c r="H806" s="15" t="s">
        <v>26</v>
      </c>
      <c r="I806" s="5">
        <v>50.903333333330004</v>
      </c>
    </row>
    <row r="807" spans="8:9" x14ac:dyDescent="0.25">
      <c r="H807" s="14">
        <v>2</v>
      </c>
      <c r="I807" s="5">
        <v>49.407777777776666</v>
      </c>
    </row>
    <row r="808" spans="8:9" x14ac:dyDescent="0.25">
      <c r="H808" s="15" t="s">
        <v>27</v>
      </c>
      <c r="I808" s="5">
        <v>52.163333333330002</v>
      </c>
    </row>
    <row r="809" spans="8:9" x14ac:dyDescent="0.25">
      <c r="H809" s="15" t="s">
        <v>28</v>
      </c>
      <c r="I809" s="5">
        <v>49.893333333329998</v>
      </c>
    </row>
    <row r="810" spans="8:9" x14ac:dyDescent="0.25">
      <c r="H810" s="15" t="s">
        <v>29</v>
      </c>
      <c r="I810" s="5">
        <v>46.166666666669997</v>
      </c>
    </row>
    <row r="811" spans="8:9" x14ac:dyDescent="0.25">
      <c r="H811" s="14">
        <v>3</v>
      </c>
      <c r="I811" s="5">
        <v>50.183333333333337</v>
      </c>
    </row>
    <row r="812" spans="8:9" x14ac:dyDescent="0.25">
      <c r="H812" s="15" t="s">
        <v>30</v>
      </c>
      <c r="I812" s="5">
        <v>47.656666666669999</v>
      </c>
    </row>
    <row r="813" spans="8:9" x14ac:dyDescent="0.25">
      <c r="H813" s="15" t="s">
        <v>31</v>
      </c>
      <c r="I813" s="5">
        <v>49.943333333330003</v>
      </c>
    </row>
    <row r="814" spans="8:9" x14ac:dyDescent="0.25">
      <c r="H814" s="15" t="s">
        <v>32</v>
      </c>
      <c r="I814" s="5">
        <v>52.95</v>
      </c>
    </row>
    <row r="815" spans="8:9" x14ac:dyDescent="0.25">
      <c r="H815" s="14">
        <v>4</v>
      </c>
      <c r="I815" s="5">
        <v>58.68</v>
      </c>
    </row>
    <row r="816" spans="8:9" x14ac:dyDescent="0.25">
      <c r="H816" s="15" t="s">
        <v>33</v>
      </c>
      <c r="I816" s="5">
        <v>54.92</v>
      </c>
    </row>
    <row r="817" spans="8:9" x14ac:dyDescent="0.25">
      <c r="H817" s="15" t="s">
        <v>34</v>
      </c>
      <c r="I817" s="5">
        <v>59.933333333329998</v>
      </c>
    </row>
    <row r="818" spans="8:9" x14ac:dyDescent="0.25">
      <c r="H818" s="15" t="s">
        <v>35</v>
      </c>
      <c r="I818" s="5">
        <v>61.18666666667</v>
      </c>
    </row>
    <row r="819" spans="8:9" x14ac:dyDescent="0.25">
      <c r="H819" s="2">
        <v>2018</v>
      </c>
      <c r="I819" s="5">
        <v>68.347500000000835</v>
      </c>
    </row>
    <row r="820" spans="8:9" x14ac:dyDescent="0.25">
      <c r="H820" s="14">
        <v>1</v>
      </c>
      <c r="I820" s="5">
        <v>64.617777777780006</v>
      </c>
    </row>
    <row r="821" spans="8:9" x14ac:dyDescent="0.25">
      <c r="H821" s="15" t="s">
        <v>24</v>
      </c>
      <c r="I821" s="5">
        <v>66.226666666669999</v>
      </c>
    </row>
    <row r="822" spans="8:9" x14ac:dyDescent="0.25">
      <c r="H822" s="15" t="s">
        <v>25</v>
      </c>
      <c r="I822" s="5">
        <v>63.46</v>
      </c>
    </row>
    <row r="823" spans="8:9" x14ac:dyDescent="0.25">
      <c r="H823" s="15" t="s">
        <v>26</v>
      </c>
      <c r="I823" s="5">
        <v>64.166666666669997</v>
      </c>
    </row>
    <row r="824" spans="8:9" x14ac:dyDescent="0.25">
      <c r="H824" s="14">
        <v>2</v>
      </c>
      <c r="I824" s="5">
        <v>71.399999999999991</v>
      </c>
    </row>
    <row r="825" spans="8:9" x14ac:dyDescent="0.25">
      <c r="H825" s="15" t="s">
        <v>27</v>
      </c>
      <c r="I825" s="5">
        <v>68.793333333329997</v>
      </c>
    </row>
    <row r="826" spans="8:9" x14ac:dyDescent="0.25">
      <c r="H826" s="15" t="s">
        <v>28</v>
      </c>
      <c r="I826" s="5">
        <v>73.430000000000007</v>
      </c>
    </row>
    <row r="827" spans="8:9" x14ac:dyDescent="0.25">
      <c r="H827" s="15" t="s">
        <v>29</v>
      </c>
      <c r="I827" s="5">
        <v>71.976666666669999</v>
      </c>
    </row>
    <row r="828" spans="8:9" x14ac:dyDescent="0.25">
      <c r="H828" s="14">
        <v>3</v>
      </c>
      <c r="I828" s="5">
        <v>73.037777777776668</v>
      </c>
    </row>
    <row r="829" spans="8:9" x14ac:dyDescent="0.25">
      <c r="H829" s="15" t="s">
        <v>30</v>
      </c>
      <c r="I829" s="5">
        <v>72.666666666669997</v>
      </c>
    </row>
    <row r="830" spans="8:9" x14ac:dyDescent="0.25">
      <c r="H830" s="15" t="s">
        <v>31</v>
      </c>
      <c r="I830" s="5">
        <v>71.083333333330003</v>
      </c>
    </row>
    <row r="831" spans="8:9" x14ac:dyDescent="0.25">
      <c r="H831" s="15" t="s">
        <v>32</v>
      </c>
      <c r="I831" s="5">
        <v>75.363333333330004</v>
      </c>
    </row>
    <row r="832" spans="8:9" x14ac:dyDescent="0.25">
      <c r="H832" s="14">
        <v>4</v>
      </c>
      <c r="I832" s="5">
        <v>64.334444444446675</v>
      </c>
    </row>
    <row r="833" spans="8:9" x14ac:dyDescent="0.25">
      <c r="H833" s="15" t="s">
        <v>33</v>
      </c>
      <c r="I833" s="5">
        <v>76.726666666669999</v>
      </c>
    </row>
    <row r="834" spans="8:9" x14ac:dyDescent="0.25">
      <c r="H834" s="15" t="s">
        <v>34</v>
      </c>
      <c r="I834" s="5">
        <v>62.316666666670002</v>
      </c>
    </row>
    <row r="835" spans="8:9" x14ac:dyDescent="0.25">
      <c r="H835" s="15" t="s">
        <v>35</v>
      </c>
      <c r="I835" s="5">
        <v>53.96</v>
      </c>
    </row>
    <row r="836" spans="8:9" x14ac:dyDescent="0.25">
      <c r="H836" s="2">
        <v>2019</v>
      </c>
      <c r="I836" s="5">
        <v>61.407499999999175</v>
      </c>
    </row>
    <row r="837" spans="8:9" x14ac:dyDescent="0.25">
      <c r="H837" s="14">
        <v>1</v>
      </c>
      <c r="I837" s="5">
        <v>60.501111111109999</v>
      </c>
    </row>
    <row r="838" spans="8:9" x14ac:dyDescent="0.25">
      <c r="H838" s="15" t="s">
        <v>24</v>
      </c>
      <c r="I838" s="5">
        <v>56.583333333330003</v>
      </c>
    </row>
    <row r="839" spans="8:9" x14ac:dyDescent="0.25">
      <c r="H839" s="15" t="s">
        <v>25</v>
      </c>
      <c r="I839" s="5">
        <v>61.13333333333</v>
      </c>
    </row>
    <row r="840" spans="8:9" x14ac:dyDescent="0.25">
      <c r="H840" s="15" t="s">
        <v>26</v>
      </c>
      <c r="I840" s="5">
        <v>63.786666666670001</v>
      </c>
    </row>
    <row r="841" spans="8:9" x14ac:dyDescent="0.25">
      <c r="H841" s="14">
        <v>2</v>
      </c>
      <c r="I841" s="5">
        <v>65.056666666666658</v>
      </c>
    </row>
    <row r="842" spans="8:9" x14ac:dyDescent="0.25">
      <c r="H842" s="15" t="s">
        <v>27</v>
      </c>
      <c r="I842" s="5">
        <v>68.576666666669993</v>
      </c>
    </row>
    <row r="843" spans="8:9" x14ac:dyDescent="0.25">
      <c r="H843" s="15" t="s">
        <v>28</v>
      </c>
      <c r="I843" s="5">
        <v>66.833333333330003</v>
      </c>
    </row>
    <row r="844" spans="8:9" x14ac:dyDescent="0.25">
      <c r="H844" s="15" t="s">
        <v>29</v>
      </c>
      <c r="I844" s="5">
        <v>59.76</v>
      </c>
    </row>
    <row r="845" spans="8:9" x14ac:dyDescent="0.25">
      <c r="H845" s="14">
        <v>3</v>
      </c>
      <c r="I845" s="5">
        <v>59.728888888889998</v>
      </c>
    </row>
    <row r="846" spans="8:9" x14ac:dyDescent="0.25">
      <c r="H846" s="15" t="s">
        <v>30</v>
      </c>
      <c r="I846" s="5">
        <v>61.476666666669999</v>
      </c>
    </row>
    <row r="847" spans="8:9" x14ac:dyDescent="0.25">
      <c r="H847" s="15" t="s">
        <v>31</v>
      </c>
      <c r="I847" s="5">
        <v>57.67</v>
      </c>
    </row>
    <row r="848" spans="8:9" x14ac:dyDescent="0.25">
      <c r="H848" s="15" t="s">
        <v>32</v>
      </c>
      <c r="I848" s="5">
        <v>60.04</v>
      </c>
    </row>
    <row r="849" spans="8:9" x14ac:dyDescent="0.25">
      <c r="H849" s="14">
        <v>4</v>
      </c>
      <c r="I849" s="5">
        <v>60.343333333330001</v>
      </c>
    </row>
    <row r="850" spans="8:9" x14ac:dyDescent="0.25">
      <c r="H850" s="15" t="s">
        <v>33</v>
      </c>
      <c r="I850" s="5">
        <v>57.273333333330001</v>
      </c>
    </row>
    <row r="851" spans="8:9" x14ac:dyDescent="0.25">
      <c r="H851" s="15" t="s">
        <v>34</v>
      </c>
      <c r="I851" s="5">
        <v>60.403333333330004</v>
      </c>
    </row>
    <row r="852" spans="8:9" x14ac:dyDescent="0.25">
      <c r="H852" s="15" t="s">
        <v>35</v>
      </c>
      <c r="I852" s="5">
        <v>63.353333333329999</v>
      </c>
    </row>
    <row r="853" spans="8:9" x14ac:dyDescent="0.25">
      <c r="H853" s="2">
        <v>2020</v>
      </c>
      <c r="I853" s="5">
        <v>41.25777777777833</v>
      </c>
    </row>
    <row r="854" spans="8:9" x14ac:dyDescent="0.25">
      <c r="H854" s="14">
        <v>1</v>
      </c>
      <c r="I854" s="5">
        <v>49.058888888890003</v>
      </c>
    </row>
    <row r="855" spans="8:9" x14ac:dyDescent="0.25">
      <c r="H855" s="15" t="s">
        <v>24</v>
      </c>
      <c r="I855" s="5">
        <v>61.626666666669998</v>
      </c>
    </row>
    <row r="856" spans="8:9" x14ac:dyDescent="0.25">
      <c r="H856" s="15" t="s">
        <v>25</v>
      </c>
      <c r="I856" s="5">
        <v>53.346666666669996</v>
      </c>
    </row>
    <row r="857" spans="8:9" x14ac:dyDescent="0.25">
      <c r="H857" s="15" t="s">
        <v>26</v>
      </c>
      <c r="I857" s="5">
        <v>32.203333333330001</v>
      </c>
    </row>
    <row r="858" spans="8:9" x14ac:dyDescent="0.25">
      <c r="H858" s="14">
        <v>2</v>
      </c>
      <c r="I858" s="5">
        <v>30.293333333333333</v>
      </c>
    </row>
    <row r="859" spans="8:9" x14ac:dyDescent="0.25">
      <c r="H859" s="15" t="s">
        <v>27</v>
      </c>
      <c r="I859" s="5">
        <v>21.043333333330001</v>
      </c>
    </row>
    <row r="860" spans="8:9" x14ac:dyDescent="0.25">
      <c r="H860" s="15" t="s">
        <v>28</v>
      </c>
      <c r="I860" s="5">
        <v>30.38</v>
      </c>
    </row>
    <row r="861" spans="8:9" x14ac:dyDescent="0.25">
      <c r="H861" s="15" t="s">
        <v>29</v>
      </c>
      <c r="I861" s="5">
        <v>39.456666666670003</v>
      </c>
    </row>
    <row r="862" spans="8:9" x14ac:dyDescent="0.25">
      <c r="H862" s="14">
        <v>3</v>
      </c>
      <c r="I862" s="5">
        <v>42.03555555555667</v>
      </c>
    </row>
    <row r="863" spans="8:9" x14ac:dyDescent="0.25">
      <c r="H863" s="15" t="s">
        <v>30</v>
      </c>
      <c r="I863" s="5">
        <v>42.066666666670002</v>
      </c>
    </row>
    <row r="864" spans="8:9" x14ac:dyDescent="0.25">
      <c r="H864" s="15" t="s">
        <v>31</v>
      </c>
      <c r="I864" s="5">
        <v>43.443333333330003</v>
      </c>
    </row>
    <row r="865" spans="8:9" x14ac:dyDescent="0.25">
      <c r="H865" s="15" t="s">
        <v>32</v>
      </c>
      <c r="I865" s="5">
        <v>40.596666666669996</v>
      </c>
    </row>
    <row r="866" spans="8:9" x14ac:dyDescent="0.25">
      <c r="H866" s="14">
        <v>4</v>
      </c>
      <c r="I866" s="5">
        <v>43.643333333333338</v>
      </c>
    </row>
    <row r="867" spans="8:9" x14ac:dyDescent="0.25">
      <c r="H867" s="15" t="s">
        <v>33</v>
      </c>
      <c r="I867" s="5">
        <v>39.9</v>
      </c>
    </row>
    <row r="868" spans="8:9" x14ac:dyDescent="0.25">
      <c r="H868" s="15" t="s">
        <v>34</v>
      </c>
      <c r="I868" s="5">
        <v>42.303333333330002</v>
      </c>
    </row>
    <row r="869" spans="8:9" x14ac:dyDescent="0.25">
      <c r="H869" s="15" t="s">
        <v>35</v>
      </c>
      <c r="I869" s="5">
        <v>48.726666666669999</v>
      </c>
    </row>
    <row r="870" spans="8:9" x14ac:dyDescent="0.25">
      <c r="H870" s="2">
        <v>2021</v>
      </c>
      <c r="I870" s="5">
        <v>69.070555555554989</v>
      </c>
    </row>
    <row r="871" spans="8:9" x14ac:dyDescent="0.25">
      <c r="H871" s="14">
        <v>1</v>
      </c>
      <c r="I871" s="5">
        <v>59.298888888886665</v>
      </c>
    </row>
    <row r="872" spans="8:9" x14ac:dyDescent="0.25">
      <c r="H872" s="15" t="s">
        <v>24</v>
      </c>
      <c r="I872" s="5">
        <v>53.603333333329999</v>
      </c>
    </row>
    <row r="873" spans="8:9" x14ac:dyDescent="0.25">
      <c r="H873" s="15" t="s">
        <v>25</v>
      </c>
      <c r="I873" s="5">
        <v>60.463333333329999</v>
      </c>
    </row>
    <row r="874" spans="8:9" x14ac:dyDescent="0.25">
      <c r="H874" s="15" t="s">
        <v>26</v>
      </c>
      <c r="I874" s="5">
        <v>63.83</v>
      </c>
    </row>
    <row r="875" spans="8:9" x14ac:dyDescent="0.25">
      <c r="H875" s="14">
        <v>2</v>
      </c>
      <c r="I875" s="5">
        <v>67.051111111110004</v>
      </c>
    </row>
    <row r="876" spans="8:9" x14ac:dyDescent="0.25">
      <c r="H876" s="15" t="s">
        <v>27</v>
      </c>
      <c r="I876" s="5">
        <v>62.95</v>
      </c>
    </row>
    <row r="877" spans="8:9" x14ac:dyDescent="0.25">
      <c r="H877" s="15" t="s">
        <v>28</v>
      </c>
      <c r="I877" s="5">
        <v>66.400000000000006</v>
      </c>
    </row>
    <row r="878" spans="8:9" x14ac:dyDescent="0.25">
      <c r="H878" s="15" t="s">
        <v>29</v>
      </c>
      <c r="I878" s="5">
        <v>71.803333333330002</v>
      </c>
    </row>
    <row r="879" spans="8:9" x14ac:dyDescent="0.25">
      <c r="H879" s="14">
        <v>3</v>
      </c>
      <c r="I879" s="5">
        <v>71.649999999999991</v>
      </c>
    </row>
    <row r="880" spans="8:9" x14ac:dyDescent="0.25">
      <c r="H880" s="15" t="s">
        <v>30</v>
      </c>
      <c r="I880" s="5">
        <v>73.283333333330006</v>
      </c>
    </row>
    <row r="881" spans="8:9" x14ac:dyDescent="0.25">
      <c r="H881" s="15" t="s">
        <v>31</v>
      </c>
      <c r="I881" s="5">
        <v>68.86666666667</v>
      </c>
    </row>
    <row r="882" spans="8:9" x14ac:dyDescent="0.25">
      <c r="H882" s="15" t="s">
        <v>32</v>
      </c>
      <c r="I882" s="5">
        <v>72.8</v>
      </c>
    </row>
    <row r="883" spans="8:9" x14ac:dyDescent="0.25">
      <c r="H883" s="14">
        <v>4</v>
      </c>
      <c r="I883" s="5">
        <v>78.282222222223325</v>
      </c>
    </row>
    <row r="884" spans="8:9" x14ac:dyDescent="0.25">
      <c r="H884" s="15" t="s">
        <v>33</v>
      </c>
      <c r="I884" s="5">
        <v>82.063333333329993</v>
      </c>
    </row>
    <row r="885" spans="8:9" x14ac:dyDescent="0.25">
      <c r="H885" s="15" t="s">
        <v>34</v>
      </c>
      <c r="I885" s="5">
        <v>79.916666666669997</v>
      </c>
    </row>
    <row r="886" spans="8:9" x14ac:dyDescent="0.25">
      <c r="H886" s="15" t="s">
        <v>35</v>
      </c>
      <c r="I886" s="5">
        <v>72.86666666667</v>
      </c>
    </row>
    <row r="887" spans="8:9" x14ac:dyDescent="0.25">
      <c r="H887" s="2">
        <v>2022</v>
      </c>
      <c r="I887" s="5">
        <v>97.101388888889161</v>
      </c>
    </row>
    <row r="888" spans="8:9" x14ac:dyDescent="0.25">
      <c r="H888" s="14">
        <v>1</v>
      </c>
      <c r="I888" s="5">
        <v>96.62</v>
      </c>
    </row>
    <row r="889" spans="8:9" x14ac:dyDescent="0.25">
      <c r="H889" s="15" t="s">
        <v>24</v>
      </c>
      <c r="I889" s="5">
        <v>83.92</v>
      </c>
    </row>
    <row r="890" spans="8:9" x14ac:dyDescent="0.25">
      <c r="H890" s="15" t="s">
        <v>25</v>
      </c>
      <c r="I890" s="5">
        <v>93.543333333329997</v>
      </c>
    </row>
    <row r="891" spans="8:9" x14ac:dyDescent="0.25">
      <c r="H891" s="15" t="s">
        <v>26</v>
      </c>
      <c r="I891" s="5">
        <v>112.39666666667</v>
      </c>
    </row>
    <row r="892" spans="8:9" x14ac:dyDescent="0.25">
      <c r="H892" s="14">
        <v>2</v>
      </c>
      <c r="I892" s="5">
        <v>110.10333333333334</v>
      </c>
    </row>
    <row r="893" spans="8:9" x14ac:dyDescent="0.25">
      <c r="H893" s="15" t="s">
        <v>27</v>
      </c>
      <c r="I893" s="5">
        <v>103.41333333333</v>
      </c>
    </row>
    <row r="894" spans="8:9" x14ac:dyDescent="0.25">
      <c r="H894" s="15" t="s">
        <v>28</v>
      </c>
      <c r="I894" s="5">
        <v>110.09666666667</v>
      </c>
    </row>
    <row r="895" spans="8:9" x14ac:dyDescent="0.25">
      <c r="H895" s="15" t="s">
        <v>29</v>
      </c>
      <c r="I895" s="5">
        <v>116.8</v>
      </c>
    </row>
    <row r="896" spans="8:9" x14ac:dyDescent="0.25">
      <c r="H896" s="14">
        <v>3</v>
      </c>
      <c r="I896" s="5">
        <v>96.425555555553345</v>
      </c>
    </row>
    <row r="897" spans="8:9" x14ac:dyDescent="0.25">
      <c r="H897" s="15" t="s">
        <v>30</v>
      </c>
      <c r="I897" s="5">
        <v>105.08333333333</v>
      </c>
    </row>
    <row r="898" spans="8:9" x14ac:dyDescent="0.25">
      <c r="H898" s="15" t="s">
        <v>31</v>
      </c>
      <c r="I898" s="5">
        <v>95.973333333330004</v>
      </c>
    </row>
    <row r="899" spans="8:9" x14ac:dyDescent="0.25">
      <c r="H899" s="15" t="s">
        <v>32</v>
      </c>
      <c r="I899" s="5">
        <v>88.22</v>
      </c>
    </row>
    <row r="900" spans="8:9" x14ac:dyDescent="0.25">
      <c r="H900" s="14">
        <v>4</v>
      </c>
      <c r="I900" s="5">
        <v>85.25666666667</v>
      </c>
    </row>
    <row r="901" spans="8:9" x14ac:dyDescent="0.25">
      <c r="H901" s="15" t="s">
        <v>33</v>
      </c>
      <c r="I901" s="5">
        <v>90.326666666669993</v>
      </c>
    </row>
    <row r="902" spans="8:9" x14ac:dyDescent="0.25">
      <c r="H902" s="15" t="s">
        <v>34</v>
      </c>
      <c r="I902" s="5">
        <v>87.376666666670005</v>
      </c>
    </row>
    <row r="903" spans="8:9" x14ac:dyDescent="0.25">
      <c r="H903" s="15" t="s">
        <v>35</v>
      </c>
      <c r="I903" s="5">
        <v>78.066666666670002</v>
      </c>
    </row>
    <row r="904" spans="8:9" x14ac:dyDescent="0.25">
      <c r="H904" s="2">
        <v>2023</v>
      </c>
      <c r="I904" s="5">
        <v>80.755694444442497</v>
      </c>
    </row>
    <row r="905" spans="8:9" x14ac:dyDescent="0.25">
      <c r="H905" s="14">
        <v>1</v>
      </c>
      <c r="I905" s="5">
        <v>79.045555555553335</v>
      </c>
    </row>
    <row r="906" spans="8:9" x14ac:dyDescent="0.25">
      <c r="H906" s="15" t="s">
        <v>24</v>
      </c>
      <c r="I906" s="5">
        <v>80.41</v>
      </c>
    </row>
    <row r="907" spans="8:9" x14ac:dyDescent="0.25">
      <c r="H907" s="15" t="s">
        <v>25</v>
      </c>
      <c r="I907" s="5">
        <v>80.253333333330005</v>
      </c>
    </row>
    <row r="908" spans="8:9" x14ac:dyDescent="0.25">
      <c r="H908" s="15" t="s">
        <v>26</v>
      </c>
      <c r="I908" s="5">
        <v>76.473333333330004</v>
      </c>
    </row>
    <row r="909" spans="8:9" x14ac:dyDescent="0.25">
      <c r="H909" s="14">
        <v>2</v>
      </c>
      <c r="I909" s="5">
        <v>76.615555555553328</v>
      </c>
    </row>
    <row r="910" spans="8:9" x14ac:dyDescent="0.25">
      <c r="H910" s="15" t="s">
        <v>27</v>
      </c>
      <c r="I910" s="5">
        <v>82.46</v>
      </c>
    </row>
    <row r="911" spans="8:9" x14ac:dyDescent="0.25">
      <c r="H911" s="15" t="s">
        <v>28</v>
      </c>
      <c r="I911" s="5">
        <v>74.123333333329995</v>
      </c>
    </row>
    <row r="912" spans="8:9" x14ac:dyDescent="0.25">
      <c r="H912" s="15" t="s">
        <v>29</v>
      </c>
      <c r="I912" s="5">
        <v>73.263333333329996</v>
      </c>
    </row>
    <row r="913" spans="8:9" x14ac:dyDescent="0.25">
      <c r="H913" s="14">
        <v>3</v>
      </c>
      <c r="I913" s="5">
        <v>85.309222222219987</v>
      </c>
    </row>
    <row r="914" spans="8:9" x14ac:dyDescent="0.25">
      <c r="H914" s="15" t="s">
        <v>30</v>
      </c>
      <c r="I914" s="5">
        <v>78.983333333329995</v>
      </c>
    </row>
    <row r="915" spans="8:9" x14ac:dyDescent="0.25">
      <c r="H915" s="15" t="s">
        <v>31</v>
      </c>
      <c r="I915" s="5">
        <v>84.724333333329994</v>
      </c>
    </row>
    <row r="916" spans="8:9" x14ac:dyDescent="0.25">
      <c r="H916" s="15" t="s">
        <v>32</v>
      </c>
      <c r="I916" s="5">
        <v>92.22</v>
      </c>
    </row>
    <row r="917" spans="8:9" x14ac:dyDescent="0.25">
      <c r="H917" s="14">
        <v>4</v>
      </c>
      <c r="I917" s="5">
        <v>82.052444444443324</v>
      </c>
    </row>
    <row r="918" spans="8:9" x14ac:dyDescent="0.25">
      <c r="H918" s="15" t="s">
        <v>33</v>
      </c>
      <c r="I918" s="5">
        <v>89.083666666669998</v>
      </c>
    </row>
    <row r="919" spans="8:9" x14ac:dyDescent="0.25">
      <c r="H919" s="15" t="s">
        <v>34</v>
      </c>
      <c r="I919" s="5">
        <v>81.354333333330004</v>
      </c>
    </row>
    <row r="920" spans="8:9" x14ac:dyDescent="0.25">
      <c r="H920" s="15" t="s">
        <v>35</v>
      </c>
      <c r="I920" s="5">
        <v>75.719333333329999</v>
      </c>
    </row>
    <row r="921" spans="8:9" x14ac:dyDescent="0.25">
      <c r="H921" s="2">
        <v>2024</v>
      </c>
      <c r="I921" s="5">
        <v>78.733722222222511</v>
      </c>
    </row>
    <row r="922" spans="8:9" x14ac:dyDescent="0.25">
      <c r="H922" s="14">
        <v>1</v>
      </c>
      <c r="I922" s="5">
        <v>80.588666666666668</v>
      </c>
    </row>
    <row r="923" spans="8:9" x14ac:dyDescent="0.25">
      <c r="H923" s="15" t="s">
        <v>24</v>
      </c>
      <c r="I923" s="5">
        <v>77.672333333330002</v>
      </c>
    </row>
    <row r="924" spans="8:9" x14ac:dyDescent="0.25">
      <c r="H924" s="15" t="s">
        <v>25</v>
      </c>
      <c r="I924" s="5">
        <v>80.548000000000002</v>
      </c>
    </row>
    <row r="925" spans="8:9" x14ac:dyDescent="0.25">
      <c r="H925" s="15" t="s">
        <v>26</v>
      </c>
      <c r="I925" s="5">
        <v>83.545666666670002</v>
      </c>
    </row>
    <row r="926" spans="8:9" x14ac:dyDescent="0.25">
      <c r="H926" s="14">
        <v>2</v>
      </c>
      <c r="I926" s="5">
        <v>83.553777777776659</v>
      </c>
    </row>
    <row r="927" spans="8:9" x14ac:dyDescent="0.25">
      <c r="H927" s="15" t="s">
        <v>27</v>
      </c>
      <c r="I927" s="5">
        <v>88.011333333330001</v>
      </c>
    </row>
    <row r="928" spans="8:9" x14ac:dyDescent="0.25">
      <c r="H928" s="15" t="s">
        <v>28</v>
      </c>
      <c r="I928" s="5">
        <v>81.444999999999993</v>
      </c>
    </row>
    <row r="929" spans="8:9" x14ac:dyDescent="0.25">
      <c r="H929" s="15" t="s">
        <v>29</v>
      </c>
      <c r="I929" s="5">
        <v>81.204999999999998</v>
      </c>
    </row>
    <row r="930" spans="8:9" x14ac:dyDescent="0.25">
      <c r="H930" s="14">
        <v>3</v>
      </c>
      <c r="I930" s="5">
        <v>77.934666666666672</v>
      </c>
    </row>
    <row r="931" spans="8:9" x14ac:dyDescent="0.25">
      <c r="H931" s="15" t="s">
        <v>30</v>
      </c>
      <c r="I931" s="5">
        <v>83.258666666669995</v>
      </c>
    </row>
    <row r="932" spans="8:9" x14ac:dyDescent="0.25">
      <c r="H932" s="15" t="s">
        <v>31</v>
      </c>
      <c r="I932" s="5">
        <v>78.120999999999995</v>
      </c>
    </row>
    <row r="933" spans="8:9" x14ac:dyDescent="0.25">
      <c r="H933" s="15" t="s">
        <v>32</v>
      </c>
      <c r="I933" s="5">
        <v>72.424333333329997</v>
      </c>
    </row>
    <row r="934" spans="8:9" x14ac:dyDescent="0.25">
      <c r="H934" s="14">
        <v>4</v>
      </c>
      <c r="I934" s="5">
        <v>72.857777777780001</v>
      </c>
    </row>
    <row r="935" spans="8:9" x14ac:dyDescent="0.25">
      <c r="H935" s="15" t="s">
        <v>33</v>
      </c>
      <c r="I935" s="5">
        <v>73.970666666669999</v>
      </c>
    </row>
    <row r="936" spans="8:9" x14ac:dyDescent="0.25">
      <c r="H936" s="15" t="s">
        <v>34</v>
      </c>
      <c r="I936" s="5">
        <v>72.291666666669997</v>
      </c>
    </row>
    <row r="937" spans="8:9" x14ac:dyDescent="0.25">
      <c r="H937" s="15" t="s">
        <v>35</v>
      </c>
      <c r="I937" s="5">
        <v>72.311000000000007</v>
      </c>
    </row>
    <row r="938" spans="8:9" x14ac:dyDescent="0.25">
      <c r="H938" s="2">
        <v>2025</v>
      </c>
      <c r="I938" s="5">
        <v>63.807500000000012</v>
      </c>
    </row>
    <row r="939" spans="8:9" x14ac:dyDescent="0.25">
      <c r="H939" s="14">
        <v>1</v>
      </c>
      <c r="I939" s="5">
        <v>67.286666666666676</v>
      </c>
    </row>
    <row r="940" spans="8:9" x14ac:dyDescent="0.25">
      <c r="H940" s="15" t="s">
        <v>24</v>
      </c>
      <c r="I940" s="5">
        <v>67.650000000000006</v>
      </c>
    </row>
    <row r="941" spans="8:9" x14ac:dyDescent="0.25">
      <c r="H941" s="15" t="s">
        <v>25</v>
      </c>
      <c r="I941" s="5">
        <v>66.010000000000005</v>
      </c>
    </row>
    <row r="942" spans="8:9" x14ac:dyDescent="0.25">
      <c r="H942" s="15" t="s">
        <v>26</v>
      </c>
      <c r="I942" s="5">
        <v>68.2</v>
      </c>
    </row>
    <row r="943" spans="8:9" x14ac:dyDescent="0.25">
      <c r="H943" s="14">
        <v>2</v>
      </c>
      <c r="I943" s="5">
        <v>63.893333333333338</v>
      </c>
    </row>
    <row r="944" spans="8:9" x14ac:dyDescent="0.25">
      <c r="H944" s="15" t="s">
        <v>27</v>
      </c>
      <c r="I944" s="5">
        <v>62.97</v>
      </c>
    </row>
    <row r="945" spans="8:9" x14ac:dyDescent="0.25">
      <c r="H945" s="15" t="s">
        <v>28</v>
      </c>
      <c r="I945" s="5">
        <v>60.85</v>
      </c>
    </row>
    <row r="946" spans="8:9" x14ac:dyDescent="0.25">
      <c r="H946" s="15" t="s">
        <v>29</v>
      </c>
      <c r="I946" s="5">
        <v>67.86</v>
      </c>
    </row>
    <row r="947" spans="8:9" x14ac:dyDescent="0.25">
      <c r="H947" s="14">
        <v>3</v>
      </c>
      <c r="I947" s="5">
        <v>64.896666666666661</v>
      </c>
    </row>
    <row r="948" spans="8:9" x14ac:dyDescent="0.25">
      <c r="H948" s="15" t="s">
        <v>30</v>
      </c>
      <c r="I948" s="5">
        <v>66.97</v>
      </c>
    </row>
    <row r="949" spans="8:9" x14ac:dyDescent="0.25">
      <c r="H949" s="15" t="s">
        <v>31</v>
      </c>
      <c r="I949" s="5">
        <v>64.209999999999994</v>
      </c>
    </row>
    <row r="950" spans="8:9" x14ac:dyDescent="0.25">
      <c r="H950" s="15" t="s">
        <v>32</v>
      </c>
      <c r="I950" s="5">
        <v>63.51</v>
      </c>
    </row>
    <row r="951" spans="8:9" x14ac:dyDescent="0.25">
      <c r="H951" s="14">
        <v>4</v>
      </c>
      <c r="I951" s="5">
        <v>59.153333333333329</v>
      </c>
    </row>
    <row r="952" spans="8:9" x14ac:dyDescent="0.25">
      <c r="H952" s="15" t="s">
        <v>33</v>
      </c>
      <c r="I952" s="5">
        <v>60.05</v>
      </c>
    </row>
    <row r="953" spans="8:9" x14ac:dyDescent="0.25">
      <c r="H953" s="15" t="s">
        <v>34</v>
      </c>
      <c r="I953" s="5">
        <v>59.46</v>
      </c>
    </row>
    <row r="954" spans="8:9" x14ac:dyDescent="0.25">
      <c r="H954" s="15" t="s">
        <v>35</v>
      </c>
      <c r="I954" s="5">
        <v>57.95</v>
      </c>
    </row>
    <row r="955" spans="8:9" x14ac:dyDescent="0.25">
      <c r="H955" s="2">
        <v>2026</v>
      </c>
      <c r="I955" s="5">
        <v>70.783333333333331</v>
      </c>
    </row>
    <row r="956" spans="8:9" x14ac:dyDescent="0.25">
      <c r="H956" s="14">
        <v>1</v>
      </c>
      <c r="I956" s="5">
        <v>70.783333333333331</v>
      </c>
    </row>
    <row r="957" spans="8:9" x14ac:dyDescent="0.25">
      <c r="H957" s="15" t="s">
        <v>24</v>
      </c>
      <c r="I957" s="5">
        <v>60.04</v>
      </c>
    </row>
    <row r="958" spans="8:9" x14ac:dyDescent="0.25">
      <c r="H958" s="15" t="s">
        <v>25</v>
      </c>
      <c r="I958" s="5">
        <v>64.47</v>
      </c>
    </row>
    <row r="959" spans="8:9" x14ac:dyDescent="0.25">
      <c r="H959" s="15" t="s">
        <v>26</v>
      </c>
      <c r="I959" s="5">
        <v>87.84</v>
      </c>
    </row>
    <row r="960" spans="8:9" x14ac:dyDescent="0.25">
      <c r="H960" s="2" t="s">
        <v>19</v>
      </c>
      <c r="I960" s="5">
        <v>39.804040465622911</v>
      </c>
    </row>
  </sheetData>
  <pageMargins left="0.7" right="0.7" top="0.75" bottom="0.75" header="0.3" footer="0.3"/>
  <pageSetup orientation="portrait" r:id="rId5"/>
  <drawing r:id="rId6"/>
  <extLs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7257-97B4-41F8-BEF8-42E0E4F38D47}">
  <dimension ref="A1:T23"/>
  <sheetViews>
    <sheetView tabSelected="1" workbookViewId="0">
      <selection sqref="A1:T23"/>
    </sheetView>
  </sheetViews>
  <sheetFormatPr defaultRowHeight="15" x14ac:dyDescent="0.25"/>
  <sheetData>
    <row r="1" spans="1:20" x14ac:dyDescent="0.25">
      <c r="A1" s="13"/>
      <c r="B1" s="13"/>
      <c r="C1" s="13"/>
      <c r="D1" s="13"/>
      <c r="E1" s="13"/>
      <c r="F1" s="13"/>
      <c r="G1" s="13"/>
      <c r="H1" s="13"/>
      <c r="I1" s="13"/>
      <c r="J1" s="13"/>
      <c r="K1" s="13"/>
      <c r="L1" s="13"/>
      <c r="M1" s="13"/>
      <c r="N1" s="13"/>
      <c r="O1" s="13"/>
      <c r="P1" s="13"/>
      <c r="Q1" s="13"/>
      <c r="R1" s="13"/>
      <c r="S1" s="13"/>
      <c r="T1" s="13"/>
    </row>
    <row r="2" spans="1:20" x14ac:dyDescent="0.25">
      <c r="A2" s="13"/>
      <c r="B2" s="13"/>
      <c r="C2" s="13"/>
      <c r="D2" s="13"/>
      <c r="E2" s="13"/>
      <c r="F2" s="13"/>
      <c r="G2" s="13"/>
      <c r="H2" s="13"/>
      <c r="I2" s="13"/>
      <c r="J2" s="13"/>
      <c r="K2" s="13"/>
      <c r="L2" s="13"/>
      <c r="M2" s="13"/>
      <c r="N2" s="13"/>
      <c r="O2" s="13"/>
      <c r="P2" s="13"/>
      <c r="Q2" s="13"/>
      <c r="R2" s="13"/>
      <c r="S2" s="13"/>
      <c r="T2" s="13"/>
    </row>
    <row r="3" spans="1:20" x14ac:dyDescent="0.25">
      <c r="A3" s="13"/>
      <c r="B3" s="13"/>
      <c r="C3" s="13"/>
      <c r="D3" s="13"/>
      <c r="E3" s="13"/>
      <c r="F3" s="13"/>
      <c r="G3" s="13"/>
      <c r="H3" s="13"/>
      <c r="I3" s="13"/>
      <c r="J3" s="13"/>
      <c r="K3" s="13"/>
      <c r="L3" s="13"/>
      <c r="M3" s="13"/>
      <c r="N3" s="13"/>
      <c r="O3" s="13"/>
      <c r="P3" s="13"/>
      <c r="Q3" s="13"/>
      <c r="R3" s="13"/>
      <c r="S3" s="13"/>
      <c r="T3" s="13"/>
    </row>
    <row r="4" spans="1:20" x14ac:dyDescent="0.25">
      <c r="A4" s="13"/>
      <c r="B4" s="13"/>
      <c r="C4" s="13"/>
      <c r="D4" s="13"/>
      <c r="E4" s="13"/>
      <c r="F4" s="13"/>
      <c r="G4" s="13"/>
      <c r="H4" s="13"/>
      <c r="I4" s="13"/>
      <c r="J4" s="13"/>
      <c r="K4" s="13"/>
      <c r="L4" s="13"/>
      <c r="M4" s="13"/>
      <c r="N4" s="13"/>
      <c r="O4" s="13"/>
      <c r="P4" s="13"/>
      <c r="Q4" s="13"/>
      <c r="R4" s="13"/>
      <c r="S4" s="13"/>
      <c r="T4" s="13"/>
    </row>
    <row r="5" spans="1:20" x14ac:dyDescent="0.25">
      <c r="A5" s="13"/>
      <c r="B5" s="13"/>
      <c r="C5" s="13"/>
      <c r="D5" s="13"/>
      <c r="E5" s="13"/>
      <c r="F5" s="13"/>
      <c r="G5" s="13"/>
      <c r="H5" s="13"/>
      <c r="I5" s="13"/>
      <c r="J5" s="13"/>
      <c r="K5" s="13"/>
      <c r="L5" s="13"/>
      <c r="M5" s="13"/>
      <c r="N5" s="13"/>
      <c r="O5" s="13"/>
      <c r="P5" s="13"/>
      <c r="Q5" s="13"/>
      <c r="R5" s="13"/>
      <c r="S5" s="13"/>
      <c r="T5" s="13"/>
    </row>
    <row r="6" spans="1:20" x14ac:dyDescent="0.25">
      <c r="A6" s="13"/>
      <c r="B6" s="13"/>
      <c r="C6" s="13"/>
      <c r="D6" s="13"/>
      <c r="E6" s="13"/>
      <c r="F6" s="13"/>
      <c r="G6" s="13"/>
      <c r="H6" s="13"/>
      <c r="I6" s="13"/>
      <c r="J6" s="13"/>
      <c r="K6" s="13"/>
      <c r="L6" s="13"/>
      <c r="M6" s="13"/>
      <c r="N6" s="13"/>
      <c r="O6" s="13"/>
      <c r="P6" s="13"/>
      <c r="Q6" s="13"/>
      <c r="R6" s="13"/>
      <c r="S6" s="13"/>
      <c r="T6" s="13"/>
    </row>
    <row r="7" spans="1:20" x14ac:dyDescent="0.25">
      <c r="A7" s="13"/>
      <c r="B7" s="13"/>
      <c r="C7" s="13"/>
      <c r="D7" s="13"/>
      <c r="E7" s="13"/>
      <c r="F7" s="13"/>
      <c r="G7" s="13"/>
      <c r="H7" s="13"/>
      <c r="I7" s="13"/>
      <c r="J7" s="13"/>
      <c r="K7" s="13"/>
      <c r="L7" s="13"/>
      <c r="M7" s="13"/>
      <c r="N7" s="13"/>
      <c r="O7" s="13"/>
      <c r="P7" s="13"/>
      <c r="Q7" s="13"/>
      <c r="R7" s="13"/>
      <c r="S7" s="13"/>
      <c r="T7" s="13"/>
    </row>
    <row r="8" spans="1:20" x14ac:dyDescent="0.25">
      <c r="A8" s="13"/>
      <c r="B8" s="13"/>
      <c r="C8" s="13"/>
      <c r="D8" s="13"/>
      <c r="E8" s="13"/>
      <c r="F8" s="13"/>
      <c r="G8" s="13"/>
      <c r="H8" s="13"/>
      <c r="I8" s="13"/>
      <c r="J8" s="13"/>
      <c r="K8" s="13"/>
      <c r="L8" s="13"/>
      <c r="M8" s="13"/>
      <c r="N8" s="13"/>
      <c r="O8" s="13"/>
      <c r="P8" s="13"/>
      <c r="Q8" s="13"/>
      <c r="R8" s="13"/>
      <c r="S8" s="13"/>
      <c r="T8" s="13"/>
    </row>
    <row r="9" spans="1:20" x14ac:dyDescent="0.25">
      <c r="A9" s="13"/>
      <c r="B9" s="13"/>
      <c r="C9" s="13"/>
      <c r="D9" s="13"/>
      <c r="E9" s="13"/>
      <c r="F9" s="13"/>
      <c r="G9" s="13"/>
      <c r="H9" s="13"/>
      <c r="I9" s="13"/>
      <c r="J9" s="13"/>
      <c r="K9" s="13"/>
      <c r="L9" s="13"/>
      <c r="M9" s="13"/>
      <c r="N9" s="13"/>
      <c r="O9" s="13"/>
      <c r="P9" s="13"/>
      <c r="Q9" s="13"/>
      <c r="R9" s="13"/>
      <c r="S9" s="13"/>
      <c r="T9" s="13"/>
    </row>
    <row r="10" spans="1:20" x14ac:dyDescent="0.25">
      <c r="A10" s="13"/>
      <c r="B10" s="13"/>
      <c r="C10" s="13"/>
      <c r="D10" s="13"/>
      <c r="E10" s="13"/>
      <c r="F10" s="13"/>
      <c r="G10" s="13"/>
      <c r="H10" s="13"/>
      <c r="I10" s="13"/>
      <c r="J10" s="13"/>
      <c r="K10" s="13"/>
      <c r="L10" s="13"/>
      <c r="M10" s="13"/>
      <c r="N10" s="13"/>
      <c r="O10" s="13"/>
      <c r="P10" s="13"/>
      <c r="Q10" s="13"/>
      <c r="R10" s="13"/>
      <c r="S10" s="13"/>
      <c r="T10" s="13"/>
    </row>
    <row r="11" spans="1:20" x14ac:dyDescent="0.25">
      <c r="A11" s="13"/>
      <c r="B11" s="13"/>
      <c r="C11" s="13"/>
      <c r="D11" s="13"/>
      <c r="E11" s="13"/>
      <c r="F11" s="13"/>
      <c r="G11" s="13"/>
      <c r="H11" s="13"/>
      <c r="I11" s="13"/>
      <c r="J11" s="13"/>
      <c r="K11" s="13"/>
      <c r="L11" s="13"/>
      <c r="M11" s="13"/>
      <c r="N11" s="13"/>
      <c r="O11" s="13"/>
      <c r="P11" s="13"/>
      <c r="Q11" s="13"/>
      <c r="R11" s="13"/>
      <c r="S11" s="13"/>
      <c r="T11" s="13"/>
    </row>
    <row r="12" spans="1:20" x14ac:dyDescent="0.25">
      <c r="A12" s="13"/>
      <c r="B12" s="13"/>
      <c r="C12" s="13"/>
      <c r="D12" s="13"/>
      <c r="E12" s="13"/>
      <c r="F12" s="13"/>
      <c r="G12" s="13"/>
      <c r="H12" s="13"/>
      <c r="I12" s="13"/>
      <c r="J12" s="13"/>
      <c r="K12" s="13"/>
      <c r="L12" s="13"/>
      <c r="M12" s="13"/>
      <c r="N12" s="13"/>
      <c r="O12" s="13"/>
      <c r="P12" s="13"/>
      <c r="Q12" s="13"/>
      <c r="R12" s="13"/>
      <c r="S12" s="13"/>
      <c r="T12" s="13"/>
    </row>
    <row r="13" spans="1:20" x14ac:dyDescent="0.25">
      <c r="A13" s="13"/>
      <c r="B13" s="13"/>
      <c r="C13" s="13"/>
      <c r="D13" s="13"/>
      <c r="E13" s="13"/>
      <c r="F13" s="13"/>
      <c r="G13" s="13"/>
      <c r="H13" s="13"/>
      <c r="I13" s="13"/>
      <c r="J13" s="13"/>
      <c r="K13" s="13"/>
      <c r="L13" s="13"/>
      <c r="M13" s="13"/>
      <c r="N13" s="13"/>
      <c r="O13" s="13"/>
      <c r="P13" s="13"/>
      <c r="Q13" s="13"/>
      <c r="R13" s="13"/>
      <c r="S13" s="13"/>
      <c r="T13" s="13"/>
    </row>
    <row r="14" spans="1:20" x14ac:dyDescent="0.25">
      <c r="A14" s="13"/>
      <c r="B14" s="13"/>
      <c r="C14" s="13"/>
      <c r="D14" s="13"/>
      <c r="E14" s="13"/>
      <c r="F14" s="13"/>
      <c r="G14" s="13"/>
      <c r="H14" s="13"/>
      <c r="I14" s="13"/>
      <c r="J14" s="13"/>
      <c r="K14" s="13"/>
      <c r="L14" s="13"/>
      <c r="M14" s="13"/>
      <c r="N14" s="13"/>
      <c r="O14" s="13"/>
      <c r="P14" s="13"/>
      <c r="Q14" s="13"/>
      <c r="R14" s="13"/>
      <c r="S14" s="13"/>
      <c r="T14" s="13"/>
    </row>
    <row r="15" spans="1:20" x14ac:dyDescent="0.25">
      <c r="A15" s="13"/>
      <c r="B15" s="13"/>
      <c r="C15" s="13"/>
      <c r="D15" s="13"/>
      <c r="E15" s="13"/>
      <c r="F15" s="13"/>
      <c r="G15" s="13"/>
      <c r="H15" s="13"/>
      <c r="I15" s="13"/>
      <c r="J15" s="13"/>
      <c r="K15" s="13"/>
      <c r="L15" s="13"/>
      <c r="M15" s="13"/>
      <c r="N15" s="13"/>
      <c r="O15" s="13"/>
      <c r="P15" s="13"/>
      <c r="Q15" s="13"/>
      <c r="R15" s="13"/>
      <c r="S15" s="13"/>
      <c r="T15" s="13"/>
    </row>
    <row r="16" spans="1:20" x14ac:dyDescent="0.25">
      <c r="A16" s="13"/>
      <c r="B16" s="13"/>
      <c r="C16" s="13"/>
      <c r="D16" s="13"/>
      <c r="E16" s="13"/>
      <c r="F16" s="13"/>
      <c r="G16" s="13"/>
      <c r="H16" s="13"/>
      <c r="I16" s="13"/>
      <c r="J16" s="13"/>
      <c r="K16" s="13"/>
      <c r="L16" s="13"/>
      <c r="M16" s="13"/>
      <c r="N16" s="13"/>
      <c r="O16" s="13"/>
      <c r="P16" s="13"/>
      <c r="Q16" s="13"/>
      <c r="R16" s="13"/>
      <c r="S16" s="13"/>
      <c r="T16" s="13"/>
    </row>
    <row r="17" spans="1:20" x14ac:dyDescent="0.25">
      <c r="A17" s="13"/>
      <c r="B17" s="13"/>
      <c r="C17" s="13"/>
      <c r="D17" s="13"/>
      <c r="E17" s="13"/>
      <c r="F17" s="13"/>
      <c r="G17" s="13"/>
      <c r="H17" s="13"/>
      <c r="I17" s="13"/>
      <c r="J17" s="13"/>
      <c r="K17" s="13"/>
      <c r="L17" s="13"/>
      <c r="M17" s="13"/>
      <c r="N17" s="13"/>
      <c r="O17" s="13"/>
      <c r="P17" s="13"/>
      <c r="Q17" s="13"/>
      <c r="R17" s="13"/>
      <c r="S17" s="13"/>
      <c r="T17" s="13"/>
    </row>
    <row r="18" spans="1:20" x14ac:dyDescent="0.25">
      <c r="A18" s="13"/>
      <c r="B18" s="13"/>
      <c r="C18" s="13"/>
      <c r="D18" s="13"/>
      <c r="E18" s="13"/>
      <c r="F18" s="13"/>
      <c r="G18" s="13"/>
      <c r="H18" s="13"/>
      <c r="I18" s="13"/>
      <c r="J18" s="13"/>
      <c r="K18" s="13"/>
      <c r="L18" s="13"/>
      <c r="M18" s="13"/>
      <c r="N18" s="13"/>
      <c r="O18" s="13"/>
      <c r="P18" s="13"/>
      <c r="Q18" s="13"/>
      <c r="R18" s="13"/>
      <c r="S18" s="13"/>
      <c r="T18" s="13"/>
    </row>
    <row r="19" spans="1:20" x14ac:dyDescent="0.25">
      <c r="A19" s="13"/>
      <c r="B19" s="13"/>
      <c r="C19" s="13"/>
      <c r="D19" s="13"/>
      <c r="E19" s="13"/>
      <c r="F19" s="13"/>
      <c r="G19" s="13"/>
      <c r="H19" s="13"/>
      <c r="I19" s="13"/>
      <c r="J19" s="13"/>
      <c r="K19" s="13"/>
      <c r="L19" s="13"/>
      <c r="M19" s="13"/>
      <c r="N19" s="13"/>
      <c r="O19" s="13"/>
      <c r="P19" s="13"/>
      <c r="Q19" s="13"/>
      <c r="R19" s="13"/>
      <c r="S19" s="13"/>
      <c r="T19" s="13"/>
    </row>
    <row r="20" spans="1:20" x14ac:dyDescent="0.25">
      <c r="A20" s="13"/>
      <c r="B20" s="13"/>
      <c r="C20" s="13"/>
      <c r="D20" s="13"/>
      <c r="E20" s="13"/>
      <c r="F20" s="13"/>
      <c r="G20" s="13"/>
      <c r="H20" s="13"/>
      <c r="I20" s="13"/>
      <c r="J20" s="13"/>
      <c r="K20" s="13"/>
      <c r="L20" s="13"/>
      <c r="M20" s="13"/>
      <c r="N20" s="13"/>
      <c r="O20" s="13"/>
      <c r="P20" s="13"/>
      <c r="Q20" s="13"/>
      <c r="R20" s="13"/>
      <c r="S20" s="13"/>
      <c r="T20" s="13"/>
    </row>
    <row r="21" spans="1:20" x14ac:dyDescent="0.25">
      <c r="A21" s="13"/>
      <c r="B21" s="13"/>
      <c r="C21" s="13"/>
      <c r="D21" s="13"/>
      <c r="E21" s="13"/>
      <c r="F21" s="13"/>
      <c r="G21" s="13"/>
      <c r="H21" s="13"/>
      <c r="I21" s="13"/>
      <c r="J21" s="13"/>
      <c r="K21" s="13"/>
      <c r="L21" s="13"/>
      <c r="M21" s="13"/>
      <c r="N21" s="13"/>
      <c r="O21" s="13"/>
      <c r="P21" s="13"/>
      <c r="Q21" s="13"/>
      <c r="R21" s="13"/>
      <c r="S21" s="13"/>
      <c r="T21" s="13"/>
    </row>
    <row r="22" spans="1:20" x14ac:dyDescent="0.25">
      <c r="A22" s="13"/>
      <c r="B22" s="13"/>
      <c r="C22" s="13"/>
      <c r="D22" s="13"/>
      <c r="E22" s="13"/>
      <c r="F22" s="13"/>
      <c r="G22" s="13"/>
      <c r="H22" s="13"/>
      <c r="I22" s="13"/>
      <c r="J22" s="13"/>
      <c r="K22" s="13"/>
      <c r="L22" s="13"/>
      <c r="M22" s="13"/>
      <c r="N22" s="13"/>
      <c r="O22" s="13"/>
      <c r="P22" s="13"/>
      <c r="Q22" s="13"/>
      <c r="R22" s="13"/>
      <c r="S22" s="13"/>
      <c r="T22" s="13"/>
    </row>
    <row r="23" spans="1:20" x14ac:dyDescent="0.25">
      <c r="A23" s="13"/>
      <c r="B23" s="13"/>
      <c r="C23" s="13"/>
      <c r="D23" s="13"/>
      <c r="E23" s="13"/>
      <c r="F23" s="13"/>
      <c r="G23" s="13"/>
      <c r="H23" s="13"/>
      <c r="I23" s="13"/>
      <c r="J23" s="13"/>
      <c r="K23" s="13"/>
      <c r="L23" s="13"/>
      <c r="M23" s="13"/>
      <c r="N23" s="13"/>
      <c r="O23" s="13"/>
      <c r="P23" s="13"/>
      <c r="Q23" s="13"/>
      <c r="R23" s="13"/>
      <c r="S23" s="13"/>
      <c r="T23" s="13"/>
    </row>
  </sheetData>
  <mergeCells count="1">
    <mergeCell ref="A1:T2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Old_Fuel_Prices</vt:lpstr>
      <vt:lpstr>New_Fuel_Prices</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S</dc:creator>
  <cp:lastModifiedBy>S S</cp:lastModifiedBy>
  <dcterms:created xsi:type="dcterms:W3CDTF">2026-03-30T09:27:04Z</dcterms:created>
  <dcterms:modified xsi:type="dcterms:W3CDTF">2026-03-30T11:22:19Z</dcterms:modified>
</cp:coreProperties>
</file>